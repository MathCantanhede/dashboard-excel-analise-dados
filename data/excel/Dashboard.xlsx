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36b95677134d6f/Área de Trabalho/ADD/"/>
    </mc:Choice>
  </mc:AlternateContent>
  <xr:revisionPtr revIDLastSave="0" documentId="8_{E539EAB2-2673-44DE-86FC-741841323BCD}" xr6:coauthVersionLast="47" xr6:coauthVersionMax="47" xr10:uidLastSave="{00000000-0000-0000-0000-000000000000}"/>
  <bookViews>
    <workbookView xWindow="-120" yWindow="-120" windowWidth="20730" windowHeight="11760" activeTab="2" xr2:uid="{374E254B-8690-45B4-92DF-0C7EF6028655}"/>
  </bookViews>
  <sheets>
    <sheet name="Sheet1" sheetId="2" r:id="rId1"/>
    <sheet name="Tb-Dados" sheetId="3" r:id="rId2"/>
    <sheet name="Dashboard" sheetId="4" r:id="rId3"/>
  </sheets>
  <definedNames>
    <definedName name="DadosExternos_1" localSheetId="0" hidden="1">Sheet1!$A$1:$S$121</definedName>
    <definedName name="SegmentaçãodeDados_Contrato">#N/A</definedName>
  </definedNames>
  <calcPr calcId="191029"/>
  <pivotCaches>
    <pivotCache cacheId="1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A1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F6236-6E69-4638-8AB5-585CD0D1A6D6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<sst xmlns="http://schemas.openxmlformats.org/spreadsheetml/2006/main" count="1543" uniqueCount="80">
  <si>
    <t>Numero_Chamado</t>
  </si>
  <si>
    <t>Numero_Subchamado</t>
  </si>
  <si>
    <t>Aberto_por</t>
  </si>
  <si>
    <t>Atribuido_Para</t>
  </si>
  <si>
    <t>Grupo</t>
  </si>
  <si>
    <t>Contrato</t>
  </si>
  <si>
    <t>Tipo_Chamado</t>
  </si>
  <si>
    <t>Tipo_SLA</t>
  </si>
  <si>
    <t>SLA_Horas</t>
  </si>
  <si>
    <t>Data_Abertura</t>
  </si>
  <si>
    <t>Data_Ultima_Atualizacao</t>
  </si>
  <si>
    <t>Status</t>
  </si>
  <si>
    <t>Descricao</t>
  </si>
  <si>
    <t>Grupo_Chamado_Raiz</t>
  </si>
  <si>
    <t>Grupo_Subchamado</t>
  </si>
  <si>
    <t>Chamados_Raiz</t>
  </si>
  <si>
    <t>Nome do Dia</t>
  </si>
  <si>
    <t>Dia</t>
  </si>
  <si>
    <t>Nome do Mês</t>
  </si>
  <si>
    <t>Pedro Rocha</t>
  </si>
  <si>
    <t>Ana Costa</t>
  </si>
  <si>
    <t>Infraestrutura</t>
  </si>
  <si>
    <t>Contrato Orion</t>
  </si>
  <si>
    <t>Segurança</t>
  </si>
  <si>
    <t>P1</t>
  </si>
  <si>
    <t>Em Atendimento</t>
  </si>
  <si>
    <t>Chamado fictício para análise de SLA e rastreabilidade</t>
  </si>
  <si>
    <t>domingo</t>
  </si>
  <si>
    <t>janeiro</t>
  </si>
  <si>
    <t>Maria Santos</t>
  </si>
  <si>
    <t>João Silva</t>
  </si>
  <si>
    <t>Field Service</t>
  </si>
  <si>
    <t>Contrato Nexus</t>
  </si>
  <si>
    <t>VPN</t>
  </si>
  <si>
    <t>P3</t>
  </si>
  <si>
    <t>sexta-feira</t>
  </si>
  <si>
    <t>Fernanda Alves</t>
  </si>
  <si>
    <t>Banco de Dados</t>
  </si>
  <si>
    <t>P5</t>
  </si>
  <si>
    <t>Pendente</t>
  </si>
  <si>
    <t>-</t>
  </si>
  <si>
    <t>Fiação</t>
  </si>
  <si>
    <t>Service Desk</t>
  </si>
  <si>
    <t>Acesso</t>
  </si>
  <si>
    <t>Resolvido</t>
  </si>
  <si>
    <t>sábado</t>
  </si>
  <si>
    <t>Carlos Lima</t>
  </si>
  <si>
    <t>Contrato Atlas</t>
  </si>
  <si>
    <t>Backup</t>
  </si>
  <si>
    <t>Redes</t>
  </si>
  <si>
    <t>Aberto</t>
  </si>
  <si>
    <t>terça-feira</t>
  </si>
  <si>
    <t>Rede</t>
  </si>
  <si>
    <t>quinta-feira</t>
  </si>
  <si>
    <t>Cloud</t>
  </si>
  <si>
    <t>P2</t>
  </si>
  <si>
    <t>Email</t>
  </si>
  <si>
    <t>quarta-feira</t>
  </si>
  <si>
    <t>Contrato Solaris</t>
  </si>
  <si>
    <t>Servidor</t>
  </si>
  <si>
    <t>segunda-feira</t>
  </si>
  <si>
    <t>Telefonia</t>
  </si>
  <si>
    <t>P4</t>
  </si>
  <si>
    <t>Impressora</t>
  </si>
  <si>
    <t>Aplicações</t>
  </si>
  <si>
    <t>Mudança</t>
  </si>
  <si>
    <t>Aplicação</t>
  </si>
  <si>
    <t>Firewall</t>
  </si>
  <si>
    <t>Rótulos de Linha</t>
  </si>
  <si>
    <t>Total Geral</t>
  </si>
  <si>
    <t>cont</t>
  </si>
  <si>
    <t>Soma de cont</t>
  </si>
  <si>
    <t>Qtd. Por contrato</t>
  </si>
  <si>
    <t>Total</t>
  </si>
  <si>
    <t>Qtd. Por grupo</t>
  </si>
  <si>
    <t>Qtd. Por Status</t>
  </si>
  <si>
    <t>Volumetria por semana</t>
  </si>
  <si>
    <t>Qtd. Dias maior volumetria</t>
  </si>
  <si>
    <t>Produtividade por colaborador</t>
  </si>
  <si>
    <t>Qtd. Por tipo de chamado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</si>
</sst>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8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[Dashboard.xlsx]Tb-Dados!Tabela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Qtd. por Grupo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'Tb-Dados'!$E$2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'Tb-Dados'!$D$3:$D$11</c:f>
              <c:strCache>
                <c:ptCount val="8"/>
                <c:pt idx="0">
                  <c:v>Service Desk</c:v>
                </c:pt>
                <c:pt idx="1">
                  <c:v>Redes</c:v>
                </c:pt>
                <c:pt idx="2">
                  <c:v>Cloud</c:v>
                </c:pt>
                <c:pt idx="3">
                  <c:v>Field Service</c:v>
                </c:pt>
                <c:pt idx="4">
                  <c:v>Banco de Dados</c:v>
                </c:pt>
                <c:pt idx="5">
                  <c:v>Segurança</c:v>
                </c:pt>
                <c:pt idx="6">
                  <c:v>Aplicações</c:v>
                </c:pt>
                <c:pt idx="7">
                  <c:v>Infraestrutura</c:v>
                </c:pt>
              </c:strCache>
            </c:strRef>
          </c:cat>
          <c:val>
            <c:numRef>
              <c:f>'Tb-Dados'!$E$3:$E$11</c:f>
              <c:numCache>
                <c:formatCode>General</c:formatCode>
                <c:ptCount val="8"/>
                <c:pt idx="0">
                  <c:v>23</c:v>
                </c:pt>
                <c:pt idx="1">
                  <c:v>19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7-4AB7-8041-A439296E4A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5904672"/>
        <c:axId val="1136254160"/>
      </c:barChart>
      <c:catAx>
        <c:axId val="9059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6254160"/>
        <c:crosses val="autoZero"/>
        <c:auto val="1"/>
        <c:lblAlgn val="ctr"/>
        <c:lblOffset val="100"/>
        <c:noMultiLvlLbl val="0"/>
      </c:catAx>
      <c:valAx>
        <c:axId val="11362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90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[Dashboard.xlsx]Tb-Dados!Tabela dinâmica3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Qtd. por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'Tb-Dados'!$H$2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'Tb-Dados'!$G$3:$G$7</c:f>
              <c:strCache>
                <c:ptCount val="4"/>
                <c:pt idx="0">
                  <c:v>Aberto</c:v>
                </c:pt>
                <c:pt idx="1">
                  <c:v>Em Atendimento</c:v>
                </c:pt>
                <c:pt idx="2">
                  <c:v>Pendente</c:v>
                </c:pt>
                <c:pt idx="3">
                  <c:v>Resolvido</c:v>
                </c:pt>
              </c:strCache>
            </c:strRef>
          </c:cat>
          <c:val>
            <c:numRef>
              <c:f>'Tb-Dados'!$H$3:$H$7</c:f>
              <c:numCache>
                <c:formatCode>General</c:formatCode>
                <c:ptCount val="4"/>
                <c:pt idx="0">
                  <c:v>33</c:v>
                </c:pt>
                <c:pt idx="1">
                  <c:v>25</c:v>
                </c:pt>
                <c:pt idx="2">
                  <c:v>28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4-4394-A5E0-094B6BDB0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[Dashboard.xlsx]Tb-Dados!Tabela dinâmica4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Volumetria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'Tb-Dados'!$K$2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'Tb-Dados'!$J$3:$J$10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'Tb-Dados'!$K$3:$K$10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17</c:v>
                </c:pt>
                <c:pt idx="3">
                  <c:v>22</c:v>
                </c:pt>
                <c:pt idx="4">
                  <c:v>16</c:v>
                </c:pt>
                <c:pt idx="5">
                  <c:v>12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1-4A35-8796-AA4B04C362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5217520"/>
        <c:axId val="1015218000"/>
      </c:barChart>
      <c:catAx>
        <c:axId val="10152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218000"/>
        <c:crosses val="autoZero"/>
        <c:auto val="1"/>
        <c:lblAlgn val="ctr"/>
        <c:lblOffset val="100"/>
        <c:noMultiLvlLbl val="0"/>
      </c:catAx>
      <c:valAx>
        <c:axId val="101521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2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[Dashboard.xlsx]Tb-Dados!Tabela dinâmica7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Qtd. por tipo de chamado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'Tb-Dados'!$T$2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'Tb-Dados'!$S$3:$S$18</c:f>
              <c:strCache>
                <c:ptCount val="15"/>
                <c:pt idx="0">
                  <c:v>Segurança</c:v>
                </c:pt>
                <c:pt idx="1">
                  <c:v>Cloud</c:v>
                </c:pt>
                <c:pt idx="2">
                  <c:v>VPN</c:v>
                </c:pt>
                <c:pt idx="3">
                  <c:v>Backup</c:v>
                </c:pt>
                <c:pt idx="4">
                  <c:v>Acesso</c:v>
                </c:pt>
                <c:pt idx="5">
                  <c:v>Telefonia</c:v>
                </c:pt>
                <c:pt idx="6">
                  <c:v>Fiação</c:v>
                </c:pt>
                <c:pt idx="7">
                  <c:v>Email</c:v>
                </c:pt>
                <c:pt idx="8">
                  <c:v>Aplicação</c:v>
                </c:pt>
                <c:pt idx="9">
                  <c:v>Firewall</c:v>
                </c:pt>
                <c:pt idx="10">
                  <c:v>Rede</c:v>
                </c:pt>
                <c:pt idx="11">
                  <c:v>Mudança</c:v>
                </c:pt>
                <c:pt idx="12">
                  <c:v>Banco de Dados</c:v>
                </c:pt>
                <c:pt idx="13">
                  <c:v>Servidor</c:v>
                </c:pt>
                <c:pt idx="14">
                  <c:v>Impressora</c:v>
                </c:pt>
              </c:strCache>
            </c:strRef>
          </c:cat>
          <c:val>
            <c:numRef>
              <c:f>'Tb-Dados'!$T$3:$T$18</c:f>
              <c:numCache>
                <c:formatCode>General</c:formatCode>
                <c:ptCount val="15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6-47CC-AA0A-0A8A958AAE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2524448"/>
        <c:axId val="1156127168"/>
      </c:barChart>
      <c:catAx>
        <c:axId val="113252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127168"/>
        <c:crosses val="autoZero"/>
        <c:auto val="1"/>
        <c:lblAlgn val="ctr"/>
        <c:lblOffset val="100"/>
        <c:noMultiLvlLbl val="0"/>
      </c:catAx>
      <c:valAx>
        <c:axId val="115612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25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[Dashboard.xlsx]Tb-Dados!Tabela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Produtividade</a:t>
            </a:r>
            <a:r>
              <a:rPr lang="pt-BR" baseline="0"/>
              <a:t> por colaborador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3392927124716"/>
          <c:y val="0.20010016839164738"/>
          <c:w val="0.80749618864995965"/>
          <c:h val="0.675177015134857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'Tb-Dados'!$Q$2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'Tb-Dados'!$P$3:$P$9</c:f>
              <c:strCache>
                <c:ptCount val="6"/>
                <c:pt idx="0">
                  <c:v>Ana Costa</c:v>
                </c:pt>
                <c:pt idx="1">
                  <c:v>Carlos Lima</c:v>
                </c:pt>
                <c:pt idx="2">
                  <c:v>Fernanda Alves</c:v>
                </c:pt>
                <c:pt idx="3">
                  <c:v>João Silva</c:v>
                </c:pt>
                <c:pt idx="4">
                  <c:v>Maria Santos</c:v>
                </c:pt>
                <c:pt idx="5">
                  <c:v>Pedro Rocha</c:v>
                </c:pt>
              </c:strCache>
            </c:strRef>
          </c:cat>
          <c:val>
            <c:numRef>
              <c:f>'Tb-Dados'!$Q$3:$Q$9</c:f>
              <c:numCache>
                <c:formatCode>General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24</c:v>
                </c:pt>
                <c:pt idx="3">
                  <c:v>22</c:v>
                </c:pt>
                <c:pt idx="4">
                  <c:v>19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8-4D3E-9256-70C01A40F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7828672"/>
        <c:axId val="2050329008"/>
      </c:barChart>
      <c:catAx>
        <c:axId val="90782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0329008"/>
        <c:crosses val="autoZero"/>
        <c:auto val="1"/>
        <c:lblAlgn val="ctr"/>
        <c:lblOffset val="100"/>
        <c:noMultiLvlLbl val="0"/>
      </c:catAx>
      <c:valAx>
        <c:axId val="20503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782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24741</xdr:colOff>
      <xdr:row>4</xdr:row>
      <xdr:rowOff>1</xdr:rowOff>
    </xdr:from>
    <xdr:to>
      <xdr:col>8</xdr:col>
      <xdr:colOff>0</xdr:colOff>
      <xdr:row>16</xdr:row>
      <xdr:rowOff>74222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CDDF8D-15D7-4D14-AEA4-7F36D58D6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12369</xdr:colOff>
      <xdr:row>0</xdr:row>
      <xdr:rowOff>0</xdr:rowOff>
    </xdr:from>
    <xdr:to>
      <xdr:col>26</xdr:col>
      <xdr:colOff>37108</xdr:colOff>
      <xdr:row>3</xdr:row>
      <xdr:rowOff>173182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ontrato">
              <a:extLst>
                <a:ext uri="{FF2B5EF4-FFF2-40B4-BE49-F238E27FC236}">
                  <a16:creationId xmlns:a16="http://schemas.microsoft.com/office/drawing/2014/main" id="{470481F9-5DE2-4FE9-9EC1-D871B02337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012" y="0"/>
              <a:ext cx="14720453" cy="744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37110</xdr:colOff>
      <xdr:row>4</xdr:row>
      <xdr:rowOff>0</xdr:rowOff>
    </xdr:from>
    <xdr:to>
      <xdr:col>15</xdr:col>
      <xdr:colOff>366156</xdr:colOff>
      <xdr:row>16</xdr:row>
      <xdr:rowOff>86591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41F2112-4ED5-4DE6-9E6C-BFD460944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24740</xdr:colOff>
      <xdr:row>16</xdr:row>
      <xdr:rowOff>160812</xdr:rowOff>
    </xdr:from>
    <xdr:to>
      <xdr:col>26</xdr:col>
      <xdr:colOff>24741</xdr:colOff>
      <xdr:row>28</xdr:row>
      <xdr:rowOff>111330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A191AA1-6687-4BFE-9DD9-AA0B312C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24741</xdr:colOff>
      <xdr:row>28</xdr:row>
      <xdr:rowOff>173181</xdr:rowOff>
    </xdr:from>
    <xdr:to>
      <xdr:col>26</xdr:col>
      <xdr:colOff>24741</xdr:colOff>
      <xdr:row>43</xdr:row>
      <xdr:rowOff>133102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11C8704-4117-4E48-A597-D15C8429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421820</xdr:colOff>
      <xdr:row>4</xdr:row>
      <xdr:rowOff>0</xdr:rowOff>
    </xdr:from>
    <xdr:to>
      <xdr:col>26</xdr:col>
      <xdr:colOff>27213</xdr:colOff>
      <xdr:row>16</xdr:row>
      <xdr:rowOff>68036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752E109-501D-4A41-8D44-3BE772746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Cantanhede" refreshedDate="46051.591146874998" createdVersion="8" refreshedVersion="8" minRefreshableVersion="3" recordCount="120" xr:uid="{8A1862D2-2877-441E-B546-CEA3E1B9B94F}">
  <cacheSource type="worksheet">
    <worksheetSource name="Sheet1"/>
  </cacheSource>
  <cacheFields count="20">
    <cacheField name="Numero_Chamado" numFmtId="0">
      <sharedItems containsSemiMixedTypes="0" containsString="0" containsNumber="1" containsInteger="1" minValue="3000" maxValue="3119"/>
    </cacheField>
    <cacheField name="Numero_Subchamado" numFmtId="0">
      <sharedItems containsString="0" containsBlank="1" containsNumber="1" containsInteger="1" minValue="2999" maxValue="3117"/>
    </cacheField>
    <cacheField name="Aberto_por" numFmtId="0">
      <sharedItems count="6">
        <s v="Pedro Rocha"/>
        <s v="Maria Santos"/>
        <s v="Fernanda Alves"/>
        <s v="Ana Costa"/>
        <s v="Carlos Lima"/>
        <s v="João Silva"/>
      </sharedItems>
    </cacheField>
    <cacheField name="Atribuido_Para" numFmtId="0">
      <sharedItems/>
    </cacheField>
    <cacheField name="Grupo" numFmtId="0">
      <sharedItems count="8">
        <s v="Infraestrutura"/>
        <s v="Field Service"/>
        <s v="Banco de Dados"/>
        <s v="Segurança"/>
        <s v="Service Desk"/>
        <s v="Redes"/>
        <s v="Cloud"/>
        <s v="Aplicações"/>
      </sharedItems>
    </cacheField>
    <cacheField name="Contrato" numFmtId="0">
      <sharedItems count="4">
        <s v="Contrato Orion"/>
        <s v="Contrato Nexus"/>
        <s v="Contrato Atlas"/>
        <s v="Contrato Solaris"/>
      </sharedItems>
    </cacheField>
    <cacheField name="Tipo_Chamado" numFmtId="0">
      <sharedItems count="15">
        <s v="Segurança"/>
        <s v="VPN"/>
        <s v="Fiação"/>
        <s v="Acesso"/>
        <s v="Backup"/>
        <s v="Banco de Dados"/>
        <s v="Rede"/>
        <s v="Email"/>
        <s v="Servidor"/>
        <s v="Telefonia"/>
        <s v="Impressora"/>
        <s v="Cloud"/>
        <s v="Mudança"/>
        <s v="Aplicação"/>
        <s v="Firewall"/>
      </sharedItems>
    </cacheField>
    <cacheField name="Tipo_SLA" numFmtId="0">
      <sharedItems/>
    </cacheField>
    <cacheField name="SLA_Horas" numFmtId="0">
      <sharedItems containsSemiMixedTypes="0" containsString="0" containsNumber="1" containsInteger="1" minValue="2" maxValue="29"/>
    </cacheField>
    <cacheField name="Data_Abertura" numFmtId="14">
      <sharedItems containsSemiMixedTypes="0" containsNonDate="0" containsDate="1" containsString="0" minDate="2026-01-21T00:00:00" maxDate="2026-01-30T00:00:00"/>
    </cacheField>
    <cacheField name="Data_Ultima_Atualizacao" numFmtId="14">
      <sharedItems containsSemiMixedTypes="0" containsNonDate="0" containsDate="1" containsString="0" minDate="2026-01-21T00:00:00" maxDate="2026-01-31T00:00:00"/>
    </cacheField>
    <cacheField name="Status" numFmtId="0">
      <sharedItems count="4">
        <s v="Em Atendimento"/>
        <s v="Pendente"/>
        <s v="Resolvido"/>
        <s v="Aberto"/>
      </sharedItems>
    </cacheField>
    <cacheField name="Descricao" numFmtId="0">
      <sharedItems/>
    </cacheField>
    <cacheField name="Grupo_Chamado_Raiz" numFmtId="0">
      <sharedItems/>
    </cacheField>
    <cacheField name="Grupo_Subchamado" numFmtId="0">
      <sharedItems/>
    </cacheField>
    <cacheField name="Chamados_Raiz" numFmtId="0">
      <sharedItems containsMixedTypes="1" containsNumber="1" containsInteger="1" minValue="3000" maxValue="3119"/>
    </cacheField>
    <cacheField name="Nome do Dia" numFmtId="0">
      <sharedItems count="7">
        <s v="domingo"/>
        <s v="sexta-feira"/>
        <s v="sábado"/>
        <s v="terça-feira"/>
        <s v="quinta-feira"/>
        <s v="quarta-feira"/>
        <s v="segunda-feira"/>
      </sharedItems>
    </cacheField>
    <cacheField name="Dia" numFmtId="0">
      <sharedItems containsSemiMixedTypes="0" containsString="0" containsNumber="1" containsInteger="1" minValue="21" maxValue="29" count="9">
        <n v="25"/>
        <n v="23"/>
        <n v="24"/>
        <n v="27"/>
        <n v="29"/>
        <n v="28"/>
        <n v="22"/>
        <n v="26"/>
        <n v="21"/>
      </sharedItems>
    </cacheField>
    <cacheField name="Nome do Mês" numFmtId="0">
      <sharedItems/>
    </cacheField>
    <cacheField name="co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5806682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3000"/>
    <m/>
    <x v="0"/>
    <s v="Ana Costa"/>
    <x v="0"/>
    <x v="0"/>
    <x v="0"/>
    <s v="P1"/>
    <n v="6"/>
    <d v="2026-01-25T00:00:00"/>
    <d v="2026-01-26T00:00:00"/>
    <x v="0"/>
    <s v="Chamado fictício para análise de SLA e rastreabilidade"/>
    <s v="Infraestrutura"/>
    <s v="Infraestrutura"/>
    <n v="3000"/>
    <x v="0"/>
    <x v="0"/>
    <s v="janeiro"/>
    <n v="1"/>
  </r>
  <r>
    <n v="3001"/>
    <n v="3000"/>
    <x v="1"/>
    <s v="João Silva"/>
    <x v="1"/>
    <x v="1"/>
    <x v="1"/>
    <s v="P3"/>
    <n v="12"/>
    <d v="2026-01-23T00:00:00"/>
    <d v="2026-01-24T00:00:00"/>
    <x v="0"/>
    <s v="Chamado fictício para análise de SLA e rastreabilidade"/>
    <s v="Infraestrutura"/>
    <s v="Field Service"/>
    <n v="3001"/>
    <x v="1"/>
    <x v="1"/>
    <s v="janeiro"/>
    <n v="1"/>
  </r>
  <r>
    <n v="3002"/>
    <n v="2999"/>
    <x v="2"/>
    <s v="João Silva"/>
    <x v="2"/>
    <x v="1"/>
    <x v="1"/>
    <s v="P5"/>
    <n v="28"/>
    <d v="2026-01-25T00:00:00"/>
    <d v="2026-01-26T00:00:00"/>
    <x v="1"/>
    <s v="Chamado fictício para análise de SLA e rastreabilidade"/>
    <s v="-"/>
    <s v="Banco de Dados"/>
    <s v="-"/>
    <x v="0"/>
    <x v="0"/>
    <s v="janeiro"/>
    <n v="1"/>
  </r>
  <r>
    <n v="3003"/>
    <n v="3002"/>
    <x v="0"/>
    <s v="Ana Costa"/>
    <x v="3"/>
    <x v="0"/>
    <x v="2"/>
    <s v="P3"/>
    <n v="14"/>
    <d v="2026-01-25T00:00:00"/>
    <d v="2026-01-27T00:00:00"/>
    <x v="1"/>
    <s v="Chamado fictício para análise de SLA e rastreabilidade"/>
    <s v="-"/>
    <s v="Segurança"/>
    <s v="-"/>
    <x v="0"/>
    <x v="0"/>
    <s v="janeiro"/>
    <n v="1"/>
  </r>
  <r>
    <n v="3004"/>
    <n v="3003"/>
    <x v="2"/>
    <s v="João Silva"/>
    <x v="4"/>
    <x v="1"/>
    <x v="3"/>
    <s v="P5"/>
    <n v="24"/>
    <d v="2026-01-24T00:00:00"/>
    <d v="2026-01-24T00:00:00"/>
    <x v="2"/>
    <s v="Chamado fictício para análise de SLA e rastreabilidade"/>
    <s v="-"/>
    <s v="Service Desk"/>
    <s v="-"/>
    <x v="2"/>
    <x v="2"/>
    <s v="janeiro"/>
    <n v="1"/>
  </r>
  <r>
    <n v="3005"/>
    <m/>
    <x v="2"/>
    <s v="Carlos Lima"/>
    <x v="3"/>
    <x v="2"/>
    <x v="4"/>
    <s v="P5"/>
    <n v="26"/>
    <d v="2026-01-23T00:00:00"/>
    <d v="2026-01-23T00:00:00"/>
    <x v="2"/>
    <s v="Chamado fictício para análise de SLA e rastreabilidade"/>
    <s v="Segurança"/>
    <s v="Segurança"/>
    <n v="3005"/>
    <x v="1"/>
    <x v="1"/>
    <s v="janeiro"/>
    <n v="1"/>
  </r>
  <r>
    <n v="3006"/>
    <n v="3004"/>
    <x v="3"/>
    <s v="Pedro Rocha"/>
    <x v="5"/>
    <x v="2"/>
    <x v="5"/>
    <s v="P5"/>
    <n v="28"/>
    <d v="2026-01-27T00:00:00"/>
    <d v="2026-01-28T00:00:00"/>
    <x v="3"/>
    <s v="Chamado fictício para análise de SLA e rastreabilidade"/>
    <s v="-"/>
    <s v="Redes"/>
    <s v="-"/>
    <x v="3"/>
    <x v="3"/>
    <s v="janeiro"/>
    <n v="1"/>
  </r>
  <r>
    <n v="3007"/>
    <n v="3005"/>
    <x v="1"/>
    <s v="Fernanda Alves"/>
    <x v="3"/>
    <x v="0"/>
    <x v="6"/>
    <s v="P3"/>
    <n v="10"/>
    <d v="2026-01-29T00:00:00"/>
    <d v="2026-01-30T00:00:00"/>
    <x v="2"/>
    <s v="Chamado fictício para análise de SLA e rastreabilidade"/>
    <s v="Segurança"/>
    <s v="Segurança"/>
    <n v="3007"/>
    <x v="4"/>
    <x v="4"/>
    <s v="janeiro"/>
    <n v="1"/>
  </r>
  <r>
    <n v="3008"/>
    <n v="3006"/>
    <x v="1"/>
    <s v="Fernanda Alves"/>
    <x v="6"/>
    <x v="1"/>
    <x v="3"/>
    <s v="P2"/>
    <n v="9"/>
    <d v="2026-01-24T00:00:00"/>
    <d v="2026-01-24T00:00:00"/>
    <x v="2"/>
    <s v="Chamado fictício para análise de SLA e rastreabilidade"/>
    <s v="-"/>
    <s v="Cloud"/>
    <s v="-"/>
    <x v="2"/>
    <x v="2"/>
    <s v="janeiro"/>
    <n v="1"/>
  </r>
  <r>
    <n v="3009"/>
    <n v="3006"/>
    <x v="3"/>
    <s v="Maria Santos"/>
    <x v="5"/>
    <x v="1"/>
    <x v="7"/>
    <s v="P1"/>
    <n v="7"/>
    <d v="2026-01-28T00:00:00"/>
    <d v="2026-01-30T00:00:00"/>
    <x v="3"/>
    <s v="Chamado fictício para análise de SLA e rastreabilidade"/>
    <s v="-"/>
    <s v="Redes"/>
    <s v="-"/>
    <x v="5"/>
    <x v="5"/>
    <s v="janeiro"/>
    <n v="1"/>
  </r>
  <r>
    <n v="3010"/>
    <m/>
    <x v="4"/>
    <s v="Carlos Lima"/>
    <x v="5"/>
    <x v="3"/>
    <x v="4"/>
    <s v="P1"/>
    <n v="2"/>
    <d v="2026-01-28T00:00:00"/>
    <d v="2026-01-29T00:00:00"/>
    <x v="3"/>
    <s v="Chamado fictício para análise de SLA e rastreabilidade"/>
    <s v="Redes"/>
    <s v="Redes"/>
    <n v="3010"/>
    <x v="5"/>
    <x v="5"/>
    <s v="janeiro"/>
    <n v="1"/>
  </r>
  <r>
    <n v="3011"/>
    <n v="3009"/>
    <x v="2"/>
    <s v="Ana Costa"/>
    <x v="2"/>
    <x v="3"/>
    <x v="8"/>
    <s v="P2"/>
    <n v="4"/>
    <d v="2026-01-22T00:00:00"/>
    <d v="2026-01-23T00:00:00"/>
    <x v="1"/>
    <s v="Chamado fictício para análise de SLA e rastreabilidade"/>
    <s v="-"/>
    <s v="Banco de Dados"/>
    <s v="-"/>
    <x v="4"/>
    <x v="6"/>
    <s v="janeiro"/>
    <n v="1"/>
  </r>
  <r>
    <n v="3012"/>
    <n v="3009"/>
    <x v="0"/>
    <s v="Maria Santos"/>
    <x v="6"/>
    <x v="0"/>
    <x v="6"/>
    <s v="P5"/>
    <n v="29"/>
    <d v="2026-01-26T00:00:00"/>
    <d v="2026-01-28T00:00:00"/>
    <x v="3"/>
    <s v="Chamado fictício para análise de SLA e rastreabilidade"/>
    <s v="-"/>
    <s v="Cloud"/>
    <s v="-"/>
    <x v="6"/>
    <x v="7"/>
    <s v="janeiro"/>
    <n v="1"/>
  </r>
  <r>
    <n v="3013"/>
    <n v="3011"/>
    <x v="4"/>
    <s v="Maria Santos"/>
    <x v="2"/>
    <x v="2"/>
    <x v="9"/>
    <s v="P4"/>
    <n v="21"/>
    <d v="2026-01-22T00:00:00"/>
    <d v="2026-01-24T00:00:00"/>
    <x v="1"/>
    <s v="Chamado fictício para análise de SLA e rastreabilidade"/>
    <s v="-"/>
    <s v="Banco de Dados"/>
    <s v="-"/>
    <x v="4"/>
    <x v="6"/>
    <s v="janeiro"/>
    <n v="1"/>
  </r>
  <r>
    <n v="3014"/>
    <n v="3013"/>
    <x v="2"/>
    <s v="Pedro Rocha"/>
    <x v="5"/>
    <x v="1"/>
    <x v="10"/>
    <s v="P5"/>
    <n v="28"/>
    <d v="2026-01-28T00:00:00"/>
    <d v="2026-01-30T00:00:00"/>
    <x v="3"/>
    <s v="Chamado fictício para análise de SLA e rastreabilidade"/>
    <s v="-"/>
    <s v="Redes"/>
    <s v="-"/>
    <x v="5"/>
    <x v="5"/>
    <s v="janeiro"/>
    <n v="1"/>
  </r>
  <r>
    <n v="3015"/>
    <m/>
    <x v="3"/>
    <s v="Carlos Lima"/>
    <x v="4"/>
    <x v="0"/>
    <x v="3"/>
    <s v="P2"/>
    <n v="7"/>
    <d v="2026-01-28T00:00:00"/>
    <d v="2026-01-29T00:00:00"/>
    <x v="3"/>
    <s v="Chamado fictício para análise de SLA e rastreabilidade"/>
    <s v="Service Desk"/>
    <s v="Service Desk"/>
    <n v="3015"/>
    <x v="5"/>
    <x v="5"/>
    <s v="janeiro"/>
    <n v="1"/>
  </r>
  <r>
    <n v="3016"/>
    <n v="3015"/>
    <x v="2"/>
    <s v="Fernanda Alves"/>
    <x v="0"/>
    <x v="0"/>
    <x v="10"/>
    <s v="P5"/>
    <n v="27"/>
    <d v="2026-01-21T00:00:00"/>
    <d v="2026-01-21T00:00:00"/>
    <x v="1"/>
    <s v="Chamado fictício para análise de SLA e rastreabilidade"/>
    <s v="Service Desk"/>
    <s v="Infraestrutura"/>
    <n v="3016"/>
    <x v="5"/>
    <x v="8"/>
    <s v="janeiro"/>
    <n v="1"/>
  </r>
  <r>
    <n v="3017"/>
    <n v="3015"/>
    <x v="3"/>
    <s v="Carlos Lima"/>
    <x v="2"/>
    <x v="3"/>
    <x v="6"/>
    <s v="P1"/>
    <n v="4"/>
    <d v="2026-01-26T00:00:00"/>
    <d v="2026-01-27T00:00:00"/>
    <x v="2"/>
    <s v="Chamado fictício para análise de SLA e rastreabilidade"/>
    <s v="Service Desk"/>
    <s v="Banco de Dados"/>
    <n v="3017"/>
    <x v="6"/>
    <x v="7"/>
    <s v="janeiro"/>
    <n v="1"/>
  </r>
  <r>
    <n v="3018"/>
    <n v="3017"/>
    <x v="3"/>
    <s v="Carlos Lima"/>
    <x v="5"/>
    <x v="0"/>
    <x v="6"/>
    <s v="P4"/>
    <n v="21"/>
    <d v="2026-01-27T00:00:00"/>
    <d v="2026-01-27T00:00:00"/>
    <x v="1"/>
    <s v="Chamado fictício para análise de SLA e rastreabilidade"/>
    <s v="Service Desk"/>
    <s v="Redes"/>
    <n v="3018"/>
    <x v="3"/>
    <x v="3"/>
    <s v="janeiro"/>
    <n v="1"/>
  </r>
  <r>
    <n v="3019"/>
    <n v="3018"/>
    <x v="4"/>
    <s v="João Silva"/>
    <x v="6"/>
    <x v="0"/>
    <x v="11"/>
    <s v="P2"/>
    <n v="10"/>
    <d v="2026-01-21T00:00:00"/>
    <d v="2026-01-22T00:00:00"/>
    <x v="2"/>
    <s v="Chamado fictício para análise de SLA e rastreabilidade"/>
    <s v="Service Desk"/>
    <s v="Cloud"/>
    <n v="3019"/>
    <x v="5"/>
    <x v="8"/>
    <s v="janeiro"/>
    <n v="1"/>
  </r>
  <r>
    <n v="3020"/>
    <m/>
    <x v="5"/>
    <s v="João Silva"/>
    <x v="2"/>
    <x v="0"/>
    <x v="10"/>
    <s v="P1"/>
    <n v="4"/>
    <d v="2026-01-26T00:00:00"/>
    <d v="2026-01-26T00:00:00"/>
    <x v="3"/>
    <s v="Chamado fictício para análise de SLA e rastreabilidade"/>
    <s v="Banco de Dados"/>
    <s v="Banco de Dados"/>
    <n v="3020"/>
    <x v="6"/>
    <x v="7"/>
    <s v="janeiro"/>
    <n v="1"/>
  </r>
  <r>
    <n v="3021"/>
    <n v="3019"/>
    <x v="2"/>
    <s v="João Silva"/>
    <x v="1"/>
    <x v="1"/>
    <x v="11"/>
    <s v="P4"/>
    <n v="22"/>
    <d v="2026-01-26T00:00:00"/>
    <d v="2026-01-26T00:00:00"/>
    <x v="2"/>
    <s v="Chamado fictício para análise de SLA e rastreabilidade"/>
    <s v="Service Desk"/>
    <s v="Field Service"/>
    <n v="3021"/>
    <x v="6"/>
    <x v="7"/>
    <s v="janeiro"/>
    <n v="1"/>
  </r>
  <r>
    <n v="3022"/>
    <n v="3019"/>
    <x v="1"/>
    <s v="Carlos Lima"/>
    <x v="5"/>
    <x v="1"/>
    <x v="4"/>
    <s v="P3"/>
    <n v="10"/>
    <d v="2026-01-21T00:00:00"/>
    <d v="2026-01-23T00:00:00"/>
    <x v="2"/>
    <s v="Chamado fictício para análise de SLA e rastreabilidade"/>
    <s v="Service Desk"/>
    <s v="Redes"/>
    <n v="3022"/>
    <x v="5"/>
    <x v="8"/>
    <s v="janeiro"/>
    <n v="1"/>
  </r>
  <r>
    <n v="3023"/>
    <n v="3021"/>
    <x v="4"/>
    <s v="Carlos Lima"/>
    <x v="4"/>
    <x v="3"/>
    <x v="11"/>
    <s v="P3"/>
    <n v="10"/>
    <d v="2026-01-25T00:00:00"/>
    <d v="2026-01-27T00:00:00"/>
    <x v="3"/>
    <s v="Chamado fictício para análise de SLA e rastreabilidade"/>
    <s v="Service Desk"/>
    <s v="Service Desk"/>
    <n v="3023"/>
    <x v="0"/>
    <x v="0"/>
    <s v="janeiro"/>
    <n v="1"/>
  </r>
  <r>
    <n v="3024"/>
    <n v="3022"/>
    <x v="2"/>
    <s v="Fernanda Alves"/>
    <x v="5"/>
    <x v="2"/>
    <x v="2"/>
    <s v="P3"/>
    <n v="14"/>
    <d v="2026-01-25T00:00:00"/>
    <d v="2026-01-27T00:00:00"/>
    <x v="2"/>
    <s v="Chamado fictício para análise de SLA e rastreabilidade"/>
    <s v="Service Desk"/>
    <s v="Redes"/>
    <n v="3024"/>
    <x v="0"/>
    <x v="0"/>
    <s v="janeiro"/>
    <n v="1"/>
  </r>
  <r>
    <n v="3025"/>
    <m/>
    <x v="0"/>
    <s v="Maria Santos"/>
    <x v="4"/>
    <x v="1"/>
    <x v="5"/>
    <s v="P1"/>
    <n v="2"/>
    <d v="2026-01-24T00:00:00"/>
    <d v="2026-01-26T00:00:00"/>
    <x v="1"/>
    <s v="Chamado fictício para análise de SLA e rastreabilidade"/>
    <s v="Service Desk"/>
    <s v="Service Desk"/>
    <n v="3025"/>
    <x v="2"/>
    <x v="2"/>
    <s v="janeiro"/>
    <n v="1"/>
  </r>
  <r>
    <n v="3026"/>
    <n v="3024"/>
    <x v="2"/>
    <s v="João Silva"/>
    <x v="7"/>
    <x v="1"/>
    <x v="0"/>
    <s v="P4"/>
    <n v="17"/>
    <d v="2026-01-26T00:00:00"/>
    <d v="2026-01-28T00:00:00"/>
    <x v="1"/>
    <s v="Chamado fictício para análise de SLA e rastreabilidade"/>
    <s v="Service Desk"/>
    <s v="Aplicações"/>
    <n v="3026"/>
    <x v="6"/>
    <x v="7"/>
    <s v="janeiro"/>
    <n v="1"/>
  </r>
  <r>
    <n v="3027"/>
    <n v="3025"/>
    <x v="3"/>
    <s v="João Silva"/>
    <x v="6"/>
    <x v="1"/>
    <x v="8"/>
    <s v="P1"/>
    <n v="5"/>
    <d v="2026-01-26T00:00:00"/>
    <d v="2026-01-26T00:00:00"/>
    <x v="2"/>
    <s v="Chamado fictício para análise de SLA e rastreabilidade"/>
    <s v="Service Desk"/>
    <s v="Cloud"/>
    <n v="3027"/>
    <x v="6"/>
    <x v="7"/>
    <s v="janeiro"/>
    <n v="1"/>
  </r>
  <r>
    <n v="3028"/>
    <n v="3025"/>
    <x v="1"/>
    <s v="Fernanda Alves"/>
    <x v="6"/>
    <x v="0"/>
    <x v="3"/>
    <s v="P2"/>
    <n v="6"/>
    <d v="2026-01-22T00:00:00"/>
    <d v="2026-01-24T00:00:00"/>
    <x v="0"/>
    <s v="Chamado fictício para análise de SLA e rastreabilidade"/>
    <s v="Service Desk"/>
    <s v="Cloud"/>
    <n v="3028"/>
    <x v="4"/>
    <x v="6"/>
    <s v="janeiro"/>
    <n v="1"/>
  </r>
  <r>
    <n v="3029"/>
    <n v="3026"/>
    <x v="4"/>
    <s v="João Silva"/>
    <x v="3"/>
    <x v="1"/>
    <x v="3"/>
    <s v="P5"/>
    <n v="25"/>
    <d v="2026-01-24T00:00:00"/>
    <d v="2026-01-24T00:00:00"/>
    <x v="3"/>
    <s v="Chamado fictício para análise de SLA e rastreabilidade"/>
    <s v="Service Desk"/>
    <s v="Segurança"/>
    <n v="3029"/>
    <x v="2"/>
    <x v="2"/>
    <s v="janeiro"/>
    <n v="1"/>
  </r>
  <r>
    <n v="3030"/>
    <m/>
    <x v="3"/>
    <s v="Maria Santos"/>
    <x v="4"/>
    <x v="2"/>
    <x v="11"/>
    <s v="P1"/>
    <n v="5"/>
    <d v="2026-01-24T00:00:00"/>
    <d v="2026-01-25T00:00:00"/>
    <x v="3"/>
    <s v="Chamado fictício para análise de SLA e rastreabilidade"/>
    <s v="Service Desk"/>
    <s v="Service Desk"/>
    <n v="3030"/>
    <x v="2"/>
    <x v="2"/>
    <s v="janeiro"/>
    <n v="1"/>
  </r>
  <r>
    <n v="3031"/>
    <n v="3029"/>
    <x v="2"/>
    <s v="Maria Santos"/>
    <x v="5"/>
    <x v="3"/>
    <x v="1"/>
    <s v="P3"/>
    <n v="13"/>
    <d v="2026-01-24T00:00:00"/>
    <d v="2026-01-25T00:00:00"/>
    <x v="3"/>
    <s v="Chamado fictício para análise de SLA e rastreabilidade"/>
    <s v="Service Desk"/>
    <s v="Redes"/>
    <n v="3031"/>
    <x v="2"/>
    <x v="2"/>
    <s v="janeiro"/>
    <n v="1"/>
  </r>
  <r>
    <n v="3032"/>
    <n v="3030"/>
    <x v="0"/>
    <s v="João Silva"/>
    <x v="1"/>
    <x v="1"/>
    <x v="1"/>
    <s v="P2"/>
    <n v="7"/>
    <d v="2026-01-22T00:00:00"/>
    <d v="2026-01-23T00:00:00"/>
    <x v="1"/>
    <s v="Chamado fictício para análise de SLA e rastreabilidade"/>
    <s v="Service Desk"/>
    <s v="Field Service"/>
    <n v="3032"/>
    <x v="4"/>
    <x v="6"/>
    <s v="janeiro"/>
    <n v="1"/>
  </r>
  <r>
    <n v="3033"/>
    <n v="3032"/>
    <x v="1"/>
    <s v="Pedro Rocha"/>
    <x v="2"/>
    <x v="1"/>
    <x v="12"/>
    <s v="P1"/>
    <n v="7"/>
    <d v="2026-01-24T00:00:00"/>
    <d v="2026-01-24T00:00:00"/>
    <x v="3"/>
    <s v="Chamado fictício para análise de SLA e rastreabilidade"/>
    <s v="Service Desk"/>
    <s v="Banco de Dados"/>
    <n v="3033"/>
    <x v="2"/>
    <x v="2"/>
    <s v="janeiro"/>
    <n v="1"/>
  </r>
  <r>
    <n v="3034"/>
    <n v="3033"/>
    <x v="4"/>
    <s v="Fernanda Alves"/>
    <x v="1"/>
    <x v="0"/>
    <x v="7"/>
    <s v="P1"/>
    <n v="7"/>
    <d v="2026-01-22T00:00:00"/>
    <d v="2026-01-24T00:00:00"/>
    <x v="1"/>
    <s v="Chamado fictício para análise de SLA e rastreabilidade"/>
    <s v="Service Desk"/>
    <s v="Field Service"/>
    <n v="3034"/>
    <x v="4"/>
    <x v="6"/>
    <s v="janeiro"/>
    <n v="1"/>
  </r>
  <r>
    <n v="3035"/>
    <m/>
    <x v="4"/>
    <s v="Fernanda Alves"/>
    <x v="5"/>
    <x v="3"/>
    <x v="11"/>
    <s v="P1"/>
    <n v="3"/>
    <d v="2026-01-25T00:00:00"/>
    <d v="2026-01-27T00:00:00"/>
    <x v="3"/>
    <s v="Chamado fictício para análise de SLA e rastreabilidade"/>
    <s v="Redes"/>
    <s v="Redes"/>
    <n v="3035"/>
    <x v="0"/>
    <x v="0"/>
    <s v="janeiro"/>
    <n v="1"/>
  </r>
  <r>
    <n v="3036"/>
    <n v="3033"/>
    <x v="2"/>
    <s v="Ana Costa"/>
    <x v="0"/>
    <x v="3"/>
    <x v="0"/>
    <s v="P2"/>
    <n v="9"/>
    <d v="2026-01-27T00:00:00"/>
    <d v="2026-01-28T00:00:00"/>
    <x v="0"/>
    <s v="Chamado fictício para análise de SLA e rastreabilidade"/>
    <s v="Service Desk"/>
    <s v="Infraestrutura"/>
    <n v="3036"/>
    <x v="3"/>
    <x v="3"/>
    <s v="janeiro"/>
    <n v="1"/>
  </r>
  <r>
    <n v="3037"/>
    <n v="3035"/>
    <x v="0"/>
    <s v="Fernanda Alves"/>
    <x v="3"/>
    <x v="2"/>
    <x v="2"/>
    <s v="P2"/>
    <n v="9"/>
    <d v="2026-01-24T00:00:00"/>
    <d v="2026-01-26T00:00:00"/>
    <x v="1"/>
    <s v="Chamado fictício para análise de SLA e rastreabilidade"/>
    <s v="Redes"/>
    <s v="Segurança"/>
    <n v="3037"/>
    <x v="2"/>
    <x v="2"/>
    <s v="janeiro"/>
    <n v="1"/>
  </r>
  <r>
    <n v="3038"/>
    <n v="3036"/>
    <x v="2"/>
    <s v="Ana Costa"/>
    <x v="4"/>
    <x v="2"/>
    <x v="1"/>
    <s v="P4"/>
    <n v="20"/>
    <d v="2026-01-22T00:00:00"/>
    <d v="2026-01-23T00:00:00"/>
    <x v="0"/>
    <s v="Chamado fictício para análise de SLA e rastreabilidade"/>
    <s v="Service Desk"/>
    <s v="Service Desk"/>
    <n v="3038"/>
    <x v="4"/>
    <x v="6"/>
    <s v="janeiro"/>
    <n v="1"/>
  </r>
  <r>
    <n v="3039"/>
    <n v="3038"/>
    <x v="5"/>
    <s v="Ana Costa"/>
    <x v="2"/>
    <x v="3"/>
    <x v="0"/>
    <s v="P5"/>
    <n v="26"/>
    <d v="2026-01-24T00:00:00"/>
    <d v="2026-01-25T00:00:00"/>
    <x v="3"/>
    <s v="Chamado fictício para análise de SLA e rastreabilidade"/>
    <s v="Service Desk"/>
    <s v="Banco de Dados"/>
    <n v="3039"/>
    <x v="2"/>
    <x v="2"/>
    <s v="janeiro"/>
    <n v="1"/>
  </r>
  <r>
    <n v="3040"/>
    <m/>
    <x v="5"/>
    <s v="Carlos Lima"/>
    <x v="1"/>
    <x v="2"/>
    <x v="9"/>
    <s v="P4"/>
    <n v="19"/>
    <d v="2026-01-28T00:00:00"/>
    <d v="2026-01-28T00:00:00"/>
    <x v="2"/>
    <s v="Chamado fictício para análise de SLA e rastreabilidade"/>
    <s v="Field Service"/>
    <s v="Field Service"/>
    <n v="3040"/>
    <x v="5"/>
    <x v="5"/>
    <s v="janeiro"/>
    <n v="1"/>
  </r>
  <r>
    <n v="3041"/>
    <n v="3039"/>
    <x v="2"/>
    <s v="João Silva"/>
    <x v="0"/>
    <x v="3"/>
    <x v="6"/>
    <s v="P2"/>
    <n v="5"/>
    <d v="2026-01-22T00:00:00"/>
    <d v="2026-01-24T00:00:00"/>
    <x v="3"/>
    <s v="Chamado fictício para análise de SLA e rastreabilidade"/>
    <s v="Service Desk"/>
    <s v="Infraestrutura"/>
    <n v="3041"/>
    <x v="4"/>
    <x v="6"/>
    <s v="janeiro"/>
    <n v="1"/>
  </r>
  <r>
    <n v="3042"/>
    <n v="3041"/>
    <x v="1"/>
    <s v="Maria Santos"/>
    <x v="4"/>
    <x v="2"/>
    <x v="13"/>
    <s v="P3"/>
    <n v="10"/>
    <d v="2026-01-26T00:00:00"/>
    <d v="2026-01-26T00:00:00"/>
    <x v="0"/>
    <s v="Chamado fictício para análise de SLA e rastreabilidade"/>
    <s v="Service Desk"/>
    <s v="Service Desk"/>
    <n v="3042"/>
    <x v="6"/>
    <x v="7"/>
    <s v="janeiro"/>
    <n v="1"/>
  </r>
  <r>
    <n v="3043"/>
    <n v="3041"/>
    <x v="2"/>
    <s v="Carlos Lima"/>
    <x v="3"/>
    <x v="1"/>
    <x v="13"/>
    <s v="P3"/>
    <n v="8"/>
    <d v="2026-01-24T00:00:00"/>
    <d v="2026-01-24T00:00:00"/>
    <x v="1"/>
    <s v="Chamado fictício para análise de SLA e rastreabilidade"/>
    <s v="Service Desk"/>
    <s v="Segurança"/>
    <n v="3043"/>
    <x v="2"/>
    <x v="2"/>
    <s v="janeiro"/>
    <n v="1"/>
  </r>
  <r>
    <n v="3044"/>
    <n v="3043"/>
    <x v="2"/>
    <s v="João Silva"/>
    <x v="5"/>
    <x v="2"/>
    <x v="0"/>
    <s v="P3"/>
    <n v="13"/>
    <d v="2026-01-27T00:00:00"/>
    <d v="2026-01-28T00:00:00"/>
    <x v="2"/>
    <s v="Chamado fictício para análise de SLA e rastreabilidade"/>
    <s v="Service Desk"/>
    <s v="Redes"/>
    <n v="3044"/>
    <x v="3"/>
    <x v="3"/>
    <s v="janeiro"/>
    <n v="1"/>
  </r>
  <r>
    <n v="3045"/>
    <m/>
    <x v="5"/>
    <s v="Maria Santos"/>
    <x v="5"/>
    <x v="2"/>
    <x v="7"/>
    <s v="P1"/>
    <n v="4"/>
    <d v="2026-01-26T00:00:00"/>
    <d v="2026-01-28T00:00:00"/>
    <x v="2"/>
    <s v="Chamado fictício para análise de SLA e rastreabilidade"/>
    <s v="Redes"/>
    <s v="Redes"/>
    <n v="3045"/>
    <x v="6"/>
    <x v="7"/>
    <s v="janeiro"/>
    <n v="1"/>
  </r>
  <r>
    <n v="3046"/>
    <n v="3045"/>
    <x v="4"/>
    <s v="Carlos Lima"/>
    <x v="6"/>
    <x v="3"/>
    <x v="12"/>
    <s v="P1"/>
    <n v="3"/>
    <d v="2026-01-25T00:00:00"/>
    <d v="2026-01-26T00:00:00"/>
    <x v="2"/>
    <s v="Chamado fictício para análise de SLA e rastreabilidade"/>
    <s v="Redes"/>
    <s v="Cloud"/>
    <n v="3046"/>
    <x v="0"/>
    <x v="0"/>
    <s v="janeiro"/>
    <n v="1"/>
  </r>
  <r>
    <n v="3047"/>
    <n v="3044"/>
    <x v="5"/>
    <s v="Maria Santos"/>
    <x v="1"/>
    <x v="2"/>
    <x v="0"/>
    <s v="P5"/>
    <n v="26"/>
    <d v="2026-01-23T00:00:00"/>
    <d v="2026-01-23T00:00:00"/>
    <x v="3"/>
    <s v="Chamado fictício para análise de SLA e rastreabilidade"/>
    <s v="Service Desk"/>
    <s v="Field Service"/>
    <n v="3047"/>
    <x v="1"/>
    <x v="1"/>
    <s v="janeiro"/>
    <n v="1"/>
  </r>
  <r>
    <n v="3048"/>
    <n v="3047"/>
    <x v="4"/>
    <s v="Ana Costa"/>
    <x v="0"/>
    <x v="3"/>
    <x v="4"/>
    <s v="P4"/>
    <n v="19"/>
    <d v="2026-01-22T00:00:00"/>
    <d v="2026-01-23T00:00:00"/>
    <x v="2"/>
    <s v="Chamado fictício para análise de SLA e rastreabilidade"/>
    <s v="Service Desk"/>
    <s v="Infraestrutura"/>
    <n v="3048"/>
    <x v="4"/>
    <x v="6"/>
    <s v="janeiro"/>
    <n v="1"/>
  </r>
  <r>
    <n v="3049"/>
    <n v="3048"/>
    <x v="1"/>
    <s v="João Silva"/>
    <x v="4"/>
    <x v="2"/>
    <x v="3"/>
    <s v="P1"/>
    <n v="2"/>
    <d v="2026-01-21T00:00:00"/>
    <d v="2026-01-21T00:00:00"/>
    <x v="3"/>
    <s v="Chamado fictício para análise de SLA e rastreabilidade"/>
    <s v="Service Desk"/>
    <s v="Service Desk"/>
    <n v="3049"/>
    <x v="5"/>
    <x v="8"/>
    <s v="janeiro"/>
    <n v="1"/>
  </r>
  <r>
    <n v="3050"/>
    <m/>
    <x v="5"/>
    <s v="João Silva"/>
    <x v="5"/>
    <x v="1"/>
    <x v="1"/>
    <s v="P1"/>
    <n v="2"/>
    <d v="2026-01-28T00:00:00"/>
    <d v="2026-01-30T00:00:00"/>
    <x v="2"/>
    <s v="Chamado fictício para análise de SLA e rastreabilidade"/>
    <s v="Redes"/>
    <s v="Redes"/>
    <n v="3050"/>
    <x v="5"/>
    <x v="5"/>
    <s v="janeiro"/>
    <n v="1"/>
  </r>
  <r>
    <n v="3051"/>
    <n v="3048"/>
    <x v="5"/>
    <s v="Maria Santos"/>
    <x v="5"/>
    <x v="3"/>
    <x v="11"/>
    <s v="P1"/>
    <n v="4"/>
    <d v="2026-01-28T00:00:00"/>
    <d v="2026-01-29T00:00:00"/>
    <x v="1"/>
    <s v="Chamado fictício para análise de SLA e rastreabilidade"/>
    <s v="Service Desk"/>
    <s v="Redes"/>
    <n v="3051"/>
    <x v="5"/>
    <x v="5"/>
    <s v="janeiro"/>
    <n v="1"/>
  </r>
  <r>
    <n v="3052"/>
    <n v="3050"/>
    <x v="5"/>
    <s v="Maria Santos"/>
    <x v="7"/>
    <x v="0"/>
    <x v="9"/>
    <s v="P3"/>
    <n v="14"/>
    <d v="2026-01-22T00:00:00"/>
    <d v="2026-01-22T00:00:00"/>
    <x v="2"/>
    <s v="Chamado fictício para análise de SLA e rastreabilidade"/>
    <s v="Redes"/>
    <s v="Aplicações"/>
    <n v="3052"/>
    <x v="4"/>
    <x v="6"/>
    <s v="janeiro"/>
    <n v="1"/>
  </r>
  <r>
    <n v="3053"/>
    <n v="3052"/>
    <x v="5"/>
    <s v="Carlos Lima"/>
    <x v="7"/>
    <x v="1"/>
    <x v="5"/>
    <s v="P3"/>
    <n v="10"/>
    <d v="2026-01-25T00:00:00"/>
    <d v="2026-01-26T00:00:00"/>
    <x v="2"/>
    <s v="Chamado fictício para análise de SLA e rastreabilidade"/>
    <s v="Redes"/>
    <s v="Aplicações"/>
    <n v="3053"/>
    <x v="0"/>
    <x v="0"/>
    <s v="janeiro"/>
    <n v="1"/>
  </r>
  <r>
    <n v="3054"/>
    <n v="3052"/>
    <x v="3"/>
    <s v="Ana Costa"/>
    <x v="6"/>
    <x v="0"/>
    <x v="4"/>
    <s v="P4"/>
    <n v="19"/>
    <d v="2026-01-27T00:00:00"/>
    <d v="2026-01-28T00:00:00"/>
    <x v="1"/>
    <s v="Chamado fictício para análise de SLA e rastreabilidade"/>
    <s v="Redes"/>
    <s v="Cloud"/>
    <n v="3054"/>
    <x v="3"/>
    <x v="3"/>
    <s v="janeiro"/>
    <n v="1"/>
  </r>
  <r>
    <n v="3055"/>
    <m/>
    <x v="1"/>
    <s v="Fernanda Alves"/>
    <x v="2"/>
    <x v="3"/>
    <x v="4"/>
    <s v="P2"/>
    <n v="7"/>
    <d v="2026-01-22T00:00:00"/>
    <d v="2026-01-23T00:00:00"/>
    <x v="2"/>
    <s v="Chamado fictício para análise de SLA e rastreabilidade"/>
    <s v="Banco de Dados"/>
    <s v="Banco de Dados"/>
    <n v="3055"/>
    <x v="4"/>
    <x v="6"/>
    <s v="janeiro"/>
    <n v="1"/>
  </r>
  <r>
    <n v="3056"/>
    <n v="3053"/>
    <x v="2"/>
    <s v="Pedro Rocha"/>
    <x v="0"/>
    <x v="2"/>
    <x v="13"/>
    <s v="P3"/>
    <n v="9"/>
    <d v="2026-01-24T00:00:00"/>
    <d v="2026-01-25T00:00:00"/>
    <x v="3"/>
    <s v="Chamado fictício para análise de SLA e rastreabilidade"/>
    <s v="Redes"/>
    <s v="Infraestrutura"/>
    <n v="3056"/>
    <x v="2"/>
    <x v="2"/>
    <s v="janeiro"/>
    <n v="1"/>
  </r>
  <r>
    <n v="3057"/>
    <n v="3056"/>
    <x v="4"/>
    <s v="Fernanda Alves"/>
    <x v="1"/>
    <x v="3"/>
    <x v="13"/>
    <s v="P5"/>
    <n v="28"/>
    <d v="2026-01-27T00:00:00"/>
    <d v="2026-01-29T00:00:00"/>
    <x v="3"/>
    <s v="Chamado fictício para análise de SLA e rastreabilidade"/>
    <s v="Redes"/>
    <s v="Field Service"/>
    <n v="3057"/>
    <x v="3"/>
    <x v="3"/>
    <s v="janeiro"/>
    <n v="1"/>
  </r>
  <r>
    <n v="3058"/>
    <n v="3056"/>
    <x v="1"/>
    <s v="Pedro Rocha"/>
    <x v="4"/>
    <x v="2"/>
    <x v="14"/>
    <s v="P1"/>
    <n v="4"/>
    <d v="2026-01-26T00:00:00"/>
    <d v="2026-01-26T00:00:00"/>
    <x v="2"/>
    <s v="Chamado fictício para análise de SLA e rastreabilidade"/>
    <s v="Redes"/>
    <s v="Service Desk"/>
    <n v="3058"/>
    <x v="6"/>
    <x v="7"/>
    <s v="janeiro"/>
    <n v="1"/>
  </r>
  <r>
    <n v="3059"/>
    <n v="3058"/>
    <x v="1"/>
    <s v="Ana Costa"/>
    <x v="6"/>
    <x v="2"/>
    <x v="3"/>
    <s v="P4"/>
    <n v="19"/>
    <d v="2026-01-28T00:00:00"/>
    <d v="2026-01-29T00:00:00"/>
    <x v="3"/>
    <s v="Chamado fictício para análise de SLA e rastreabilidade"/>
    <s v="Redes"/>
    <s v="Cloud"/>
    <n v="3059"/>
    <x v="5"/>
    <x v="5"/>
    <s v="janeiro"/>
    <n v="1"/>
  </r>
  <r>
    <n v="3060"/>
    <m/>
    <x v="2"/>
    <s v="Ana Costa"/>
    <x v="3"/>
    <x v="3"/>
    <x v="2"/>
    <s v="P3"/>
    <n v="10"/>
    <d v="2026-01-23T00:00:00"/>
    <d v="2026-01-24T00:00:00"/>
    <x v="0"/>
    <s v="Chamado fictício para análise de SLA e rastreabilidade"/>
    <s v="Segurança"/>
    <s v="Segurança"/>
    <n v="3060"/>
    <x v="1"/>
    <x v="1"/>
    <s v="janeiro"/>
    <n v="1"/>
  </r>
  <r>
    <n v="3061"/>
    <n v="3060"/>
    <x v="0"/>
    <s v="João Silva"/>
    <x v="7"/>
    <x v="0"/>
    <x v="9"/>
    <s v="P3"/>
    <n v="10"/>
    <d v="2026-01-27T00:00:00"/>
    <d v="2026-01-27T00:00:00"/>
    <x v="3"/>
    <s v="Chamado fictício para análise de SLA e rastreabilidade"/>
    <s v="Segurança"/>
    <s v="Aplicações"/>
    <n v="3061"/>
    <x v="3"/>
    <x v="3"/>
    <s v="janeiro"/>
    <n v="1"/>
  </r>
  <r>
    <n v="3062"/>
    <n v="3060"/>
    <x v="0"/>
    <s v="Carlos Lima"/>
    <x v="1"/>
    <x v="3"/>
    <x v="9"/>
    <s v="P5"/>
    <n v="24"/>
    <d v="2026-01-23T00:00:00"/>
    <d v="2026-01-23T00:00:00"/>
    <x v="0"/>
    <s v="Chamado fictício para análise de SLA e rastreabilidade"/>
    <s v="Segurança"/>
    <s v="Field Service"/>
    <n v="3062"/>
    <x v="1"/>
    <x v="1"/>
    <s v="janeiro"/>
    <n v="1"/>
  </r>
  <r>
    <n v="3063"/>
    <n v="3061"/>
    <x v="2"/>
    <s v="Pedro Rocha"/>
    <x v="4"/>
    <x v="3"/>
    <x v="2"/>
    <s v="P3"/>
    <n v="8"/>
    <d v="2026-01-26T00:00:00"/>
    <d v="2026-01-27T00:00:00"/>
    <x v="2"/>
    <s v="Chamado fictício para análise de SLA e rastreabilidade"/>
    <s v="Segurança"/>
    <s v="Service Desk"/>
    <n v="3063"/>
    <x v="6"/>
    <x v="7"/>
    <s v="janeiro"/>
    <n v="1"/>
  </r>
  <r>
    <n v="3064"/>
    <n v="3061"/>
    <x v="3"/>
    <s v="Ana Costa"/>
    <x v="4"/>
    <x v="1"/>
    <x v="1"/>
    <s v="P4"/>
    <n v="18"/>
    <d v="2026-01-27T00:00:00"/>
    <d v="2026-01-28T00:00:00"/>
    <x v="1"/>
    <s v="Chamado fictício para análise de SLA e rastreabilidade"/>
    <s v="Segurança"/>
    <s v="Service Desk"/>
    <n v="3064"/>
    <x v="3"/>
    <x v="3"/>
    <s v="janeiro"/>
    <n v="1"/>
  </r>
  <r>
    <n v="3065"/>
    <m/>
    <x v="1"/>
    <s v="Pedro Rocha"/>
    <x v="1"/>
    <x v="2"/>
    <x v="4"/>
    <s v="P4"/>
    <n v="19"/>
    <d v="2026-01-23T00:00:00"/>
    <d v="2026-01-23T00:00:00"/>
    <x v="0"/>
    <s v="Chamado fictício para análise de SLA e rastreabilidade"/>
    <s v="Field Service"/>
    <s v="Field Service"/>
    <n v="3065"/>
    <x v="1"/>
    <x v="1"/>
    <s v="janeiro"/>
    <n v="1"/>
  </r>
  <r>
    <n v="3066"/>
    <n v="3063"/>
    <x v="3"/>
    <s v="Ana Costa"/>
    <x v="4"/>
    <x v="3"/>
    <x v="14"/>
    <s v="P1"/>
    <n v="4"/>
    <d v="2026-01-28T00:00:00"/>
    <d v="2026-01-29T00:00:00"/>
    <x v="0"/>
    <s v="Chamado fictício para análise de SLA e rastreabilidade"/>
    <s v="Segurança"/>
    <s v="Service Desk"/>
    <n v="3066"/>
    <x v="5"/>
    <x v="5"/>
    <s v="janeiro"/>
    <n v="1"/>
  </r>
  <r>
    <n v="3067"/>
    <n v="3064"/>
    <x v="0"/>
    <s v="Pedro Rocha"/>
    <x v="1"/>
    <x v="0"/>
    <x v="11"/>
    <s v="P4"/>
    <n v="22"/>
    <d v="2026-01-25T00:00:00"/>
    <d v="2026-01-26T00:00:00"/>
    <x v="2"/>
    <s v="Chamado fictício para análise de SLA e rastreabilidade"/>
    <s v="Segurança"/>
    <s v="Field Service"/>
    <n v="3067"/>
    <x v="0"/>
    <x v="0"/>
    <s v="janeiro"/>
    <n v="1"/>
  </r>
  <r>
    <n v="3068"/>
    <n v="3065"/>
    <x v="5"/>
    <s v="Fernanda Alves"/>
    <x v="4"/>
    <x v="0"/>
    <x v="9"/>
    <s v="P3"/>
    <n v="9"/>
    <d v="2026-01-26T00:00:00"/>
    <d v="2026-01-27T00:00:00"/>
    <x v="1"/>
    <s v="Chamado fictício para análise de SLA e rastreabilidade"/>
    <s v="Field Service"/>
    <s v="Service Desk"/>
    <n v="3068"/>
    <x v="6"/>
    <x v="7"/>
    <s v="janeiro"/>
    <n v="1"/>
  </r>
  <r>
    <n v="3069"/>
    <n v="3067"/>
    <x v="2"/>
    <s v="Pedro Rocha"/>
    <x v="7"/>
    <x v="2"/>
    <x v="0"/>
    <s v="P4"/>
    <n v="21"/>
    <d v="2026-01-27T00:00:00"/>
    <d v="2026-01-28T00:00:00"/>
    <x v="0"/>
    <s v="Chamado fictício para análise de SLA e rastreabilidade"/>
    <s v="Segurança"/>
    <s v="Aplicações"/>
    <n v="3069"/>
    <x v="3"/>
    <x v="3"/>
    <s v="janeiro"/>
    <n v="1"/>
  </r>
  <r>
    <n v="3070"/>
    <m/>
    <x v="3"/>
    <s v="Pedro Rocha"/>
    <x v="6"/>
    <x v="1"/>
    <x v="9"/>
    <s v="P2"/>
    <n v="7"/>
    <d v="2026-01-21T00:00:00"/>
    <d v="2026-01-22T00:00:00"/>
    <x v="0"/>
    <s v="Chamado fictício para análise de SLA e rastreabilidade"/>
    <s v="Cloud"/>
    <s v="Cloud"/>
    <n v="3070"/>
    <x v="5"/>
    <x v="8"/>
    <s v="janeiro"/>
    <n v="1"/>
  </r>
  <r>
    <n v="3071"/>
    <n v="3068"/>
    <x v="0"/>
    <s v="Carlos Lima"/>
    <x v="7"/>
    <x v="0"/>
    <x v="13"/>
    <s v="P5"/>
    <n v="28"/>
    <d v="2026-01-23T00:00:00"/>
    <d v="2026-01-24T00:00:00"/>
    <x v="0"/>
    <s v="Chamado fictício para análise de SLA e rastreabilidade"/>
    <s v="Field Service"/>
    <s v="Aplicações"/>
    <n v="3071"/>
    <x v="1"/>
    <x v="1"/>
    <s v="janeiro"/>
    <n v="1"/>
  </r>
  <r>
    <n v="3072"/>
    <n v="3070"/>
    <x v="4"/>
    <s v="Ana Costa"/>
    <x v="0"/>
    <x v="1"/>
    <x v="0"/>
    <s v="P1"/>
    <n v="5"/>
    <d v="2026-01-23T00:00:00"/>
    <d v="2026-01-24T00:00:00"/>
    <x v="1"/>
    <s v="Chamado fictício para análise de SLA e rastreabilidade"/>
    <s v="Cloud"/>
    <s v="Infraestrutura"/>
    <n v="3072"/>
    <x v="1"/>
    <x v="1"/>
    <s v="janeiro"/>
    <n v="1"/>
  </r>
  <r>
    <n v="3073"/>
    <n v="3071"/>
    <x v="0"/>
    <s v="Maria Santos"/>
    <x v="0"/>
    <x v="0"/>
    <x v="0"/>
    <s v="P2"/>
    <n v="4"/>
    <d v="2026-01-28T00:00:00"/>
    <d v="2026-01-29T00:00:00"/>
    <x v="3"/>
    <s v="Chamado fictício para análise de SLA e rastreabilidade"/>
    <s v="Field Service"/>
    <s v="Infraestrutura"/>
    <n v="3073"/>
    <x v="5"/>
    <x v="5"/>
    <s v="janeiro"/>
    <n v="1"/>
  </r>
  <r>
    <n v="3074"/>
    <n v="3071"/>
    <x v="0"/>
    <s v="Carlos Lima"/>
    <x v="2"/>
    <x v="0"/>
    <x v="14"/>
    <s v="P5"/>
    <n v="27"/>
    <d v="2026-01-26T00:00:00"/>
    <d v="2026-01-28T00:00:00"/>
    <x v="2"/>
    <s v="Chamado fictício para análise de SLA e rastreabilidade"/>
    <s v="Field Service"/>
    <s v="Banco de Dados"/>
    <n v="3074"/>
    <x v="6"/>
    <x v="7"/>
    <s v="janeiro"/>
    <n v="1"/>
  </r>
  <r>
    <n v="3075"/>
    <m/>
    <x v="0"/>
    <s v="João Silva"/>
    <x v="6"/>
    <x v="1"/>
    <x v="2"/>
    <s v="P3"/>
    <n v="11"/>
    <d v="2026-01-27T00:00:00"/>
    <d v="2026-01-27T00:00:00"/>
    <x v="0"/>
    <s v="Chamado fictício para análise de SLA e rastreabilidade"/>
    <s v="Cloud"/>
    <s v="Cloud"/>
    <n v="3075"/>
    <x v="3"/>
    <x v="3"/>
    <s v="janeiro"/>
    <n v="1"/>
  </r>
  <r>
    <n v="3076"/>
    <n v="3075"/>
    <x v="4"/>
    <s v="Pedro Rocha"/>
    <x v="5"/>
    <x v="3"/>
    <x v="6"/>
    <s v="P4"/>
    <n v="17"/>
    <d v="2026-01-22T00:00:00"/>
    <d v="2026-01-23T00:00:00"/>
    <x v="0"/>
    <s v="Chamado fictício para análise de SLA e rastreabilidade"/>
    <s v="Cloud"/>
    <s v="Redes"/>
    <n v="3076"/>
    <x v="4"/>
    <x v="6"/>
    <s v="janeiro"/>
    <n v="1"/>
  </r>
  <r>
    <n v="3077"/>
    <n v="3074"/>
    <x v="3"/>
    <s v="Carlos Lima"/>
    <x v="4"/>
    <x v="3"/>
    <x v="4"/>
    <s v="P4"/>
    <n v="20"/>
    <d v="2026-01-27T00:00:00"/>
    <d v="2026-01-28T00:00:00"/>
    <x v="3"/>
    <s v="Chamado fictício para análise de SLA e rastreabilidade"/>
    <s v="Field Service"/>
    <s v="Service Desk"/>
    <n v="3077"/>
    <x v="3"/>
    <x v="3"/>
    <s v="janeiro"/>
    <n v="1"/>
  </r>
  <r>
    <n v="3078"/>
    <n v="3077"/>
    <x v="5"/>
    <s v="João Silva"/>
    <x v="2"/>
    <x v="3"/>
    <x v="12"/>
    <s v="P1"/>
    <n v="2"/>
    <d v="2026-01-25T00:00:00"/>
    <d v="2026-01-26T00:00:00"/>
    <x v="2"/>
    <s v="Chamado fictício para análise de SLA e rastreabilidade"/>
    <s v="Field Service"/>
    <s v="Banco de Dados"/>
    <n v="3078"/>
    <x v="0"/>
    <x v="0"/>
    <s v="janeiro"/>
    <n v="1"/>
  </r>
  <r>
    <n v="3079"/>
    <n v="3077"/>
    <x v="3"/>
    <s v="João Silva"/>
    <x v="7"/>
    <x v="2"/>
    <x v="14"/>
    <s v="P1"/>
    <n v="5"/>
    <d v="2026-01-25T00:00:00"/>
    <d v="2026-01-27T00:00:00"/>
    <x v="1"/>
    <s v="Chamado fictício para análise de SLA e rastreabilidade"/>
    <s v="Field Service"/>
    <s v="Aplicações"/>
    <n v="3079"/>
    <x v="0"/>
    <x v="0"/>
    <s v="janeiro"/>
    <n v="1"/>
  </r>
  <r>
    <n v="3080"/>
    <m/>
    <x v="5"/>
    <s v="Fernanda Alves"/>
    <x v="3"/>
    <x v="3"/>
    <x v="0"/>
    <s v="P4"/>
    <n v="22"/>
    <d v="2026-01-25T00:00:00"/>
    <d v="2026-01-26T00:00:00"/>
    <x v="1"/>
    <s v="Chamado fictício para análise de SLA e rastreabilidade"/>
    <s v="Segurança"/>
    <s v="Segurança"/>
    <n v="3080"/>
    <x v="0"/>
    <x v="0"/>
    <s v="janeiro"/>
    <n v="1"/>
  </r>
  <r>
    <n v="3081"/>
    <n v="3079"/>
    <x v="0"/>
    <s v="Ana Costa"/>
    <x v="7"/>
    <x v="0"/>
    <x v="11"/>
    <s v="P5"/>
    <n v="25"/>
    <d v="2026-01-23T00:00:00"/>
    <d v="2026-01-25T00:00:00"/>
    <x v="2"/>
    <s v="Chamado fictício para análise de SLA e rastreabilidade"/>
    <s v="Field Service"/>
    <s v="Aplicações"/>
    <n v="3081"/>
    <x v="1"/>
    <x v="1"/>
    <s v="janeiro"/>
    <n v="1"/>
  </r>
  <r>
    <n v="3082"/>
    <n v="3079"/>
    <x v="1"/>
    <s v="João Silva"/>
    <x v="3"/>
    <x v="1"/>
    <x v="14"/>
    <s v="P5"/>
    <n v="28"/>
    <d v="2026-01-23T00:00:00"/>
    <d v="2026-01-23T00:00:00"/>
    <x v="1"/>
    <s v="Chamado fictício para análise de SLA e rastreabilidade"/>
    <s v="Field Service"/>
    <s v="Segurança"/>
    <n v="3082"/>
    <x v="1"/>
    <x v="1"/>
    <s v="janeiro"/>
    <n v="1"/>
  </r>
  <r>
    <n v="3083"/>
    <n v="3082"/>
    <x v="3"/>
    <s v="João Silva"/>
    <x v="4"/>
    <x v="0"/>
    <x v="1"/>
    <s v="P1"/>
    <n v="8"/>
    <d v="2026-01-21T00:00:00"/>
    <d v="2026-01-23T00:00:00"/>
    <x v="2"/>
    <s v="Chamado fictício para análise de SLA e rastreabilidade"/>
    <s v="Field Service"/>
    <s v="Service Desk"/>
    <n v="3083"/>
    <x v="5"/>
    <x v="8"/>
    <s v="janeiro"/>
    <n v="1"/>
  </r>
  <r>
    <n v="3084"/>
    <n v="3082"/>
    <x v="3"/>
    <s v="Fernanda Alves"/>
    <x v="2"/>
    <x v="0"/>
    <x v="0"/>
    <s v="P4"/>
    <n v="19"/>
    <d v="2026-01-26T00:00:00"/>
    <d v="2026-01-27T00:00:00"/>
    <x v="1"/>
    <s v="Chamado fictício para análise de SLA e rastreabilidade"/>
    <s v="Field Service"/>
    <s v="Banco de Dados"/>
    <n v="3084"/>
    <x v="6"/>
    <x v="7"/>
    <s v="janeiro"/>
    <n v="1"/>
  </r>
  <r>
    <n v="3085"/>
    <m/>
    <x v="3"/>
    <s v="Maria Santos"/>
    <x v="2"/>
    <x v="1"/>
    <x v="8"/>
    <s v="P3"/>
    <n v="13"/>
    <d v="2026-01-22T00:00:00"/>
    <d v="2026-01-23T00:00:00"/>
    <x v="0"/>
    <s v="Chamado fictício para análise de SLA e rastreabilidade"/>
    <s v="Banco de Dados"/>
    <s v="Banco de Dados"/>
    <n v="3085"/>
    <x v="4"/>
    <x v="6"/>
    <s v="janeiro"/>
    <n v="1"/>
  </r>
  <r>
    <n v="3086"/>
    <n v="3084"/>
    <x v="3"/>
    <s v="Pedro Rocha"/>
    <x v="4"/>
    <x v="0"/>
    <x v="8"/>
    <s v="P3"/>
    <n v="11"/>
    <d v="2026-01-27T00:00:00"/>
    <d v="2026-01-27T00:00:00"/>
    <x v="0"/>
    <s v="Chamado fictício para análise de SLA e rastreabilidade"/>
    <s v="Field Service"/>
    <s v="Service Desk"/>
    <n v="3086"/>
    <x v="3"/>
    <x v="3"/>
    <s v="janeiro"/>
    <n v="1"/>
  </r>
  <r>
    <n v="3087"/>
    <n v="3085"/>
    <x v="0"/>
    <s v="Maria Santos"/>
    <x v="5"/>
    <x v="2"/>
    <x v="5"/>
    <s v="P4"/>
    <n v="17"/>
    <d v="2026-01-26T00:00:00"/>
    <d v="2026-01-26T00:00:00"/>
    <x v="1"/>
    <s v="Chamado fictício para análise de SLA e rastreabilidade"/>
    <s v="Banco de Dados"/>
    <s v="Redes"/>
    <n v="3087"/>
    <x v="6"/>
    <x v="7"/>
    <s v="janeiro"/>
    <n v="1"/>
  </r>
  <r>
    <n v="3088"/>
    <n v="3087"/>
    <x v="5"/>
    <s v="Maria Santos"/>
    <x v="3"/>
    <x v="3"/>
    <x v="7"/>
    <s v="P2"/>
    <n v="6"/>
    <d v="2026-01-26T00:00:00"/>
    <d v="2026-01-27T00:00:00"/>
    <x v="3"/>
    <s v="Chamado fictício para análise de SLA e rastreabilidade"/>
    <s v="Banco de Dados"/>
    <s v="Segurança"/>
    <n v="3088"/>
    <x v="6"/>
    <x v="7"/>
    <s v="janeiro"/>
    <n v="1"/>
  </r>
  <r>
    <n v="3089"/>
    <n v="3087"/>
    <x v="4"/>
    <s v="Ana Costa"/>
    <x v="3"/>
    <x v="1"/>
    <x v="2"/>
    <s v="P5"/>
    <n v="27"/>
    <d v="2026-01-28T00:00:00"/>
    <d v="2026-01-30T00:00:00"/>
    <x v="0"/>
    <s v="Chamado fictício para análise de SLA e rastreabilidade"/>
    <s v="Banco de Dados"/>
    <s v="Segurança"/>
    <n v="3089"/>
    <x v="5"/>
    <x v="5"/>
    <s v="janeiro"/>
    <n v="1"/>
  </r>
  <r>
    <n v="3090"/>
    <m/>
    <x v="2"/>
    <s v="Carlos Lima"/>
    <x v="2"/>
    <x v="0"/>
    <x v="1"/>
    <s v="P3"/>
    <n v="13"/>
    <d v="2026-01-25T00:00:00"/>
    <d v="2026-01-26T00:00:00"/>
    <x v="2"/>
    <s v="Chamado fictício para análise de SLA e rastreabilidade"/>
    <s v="Banco de Dados"/>
    <s v="Banco de Dados"/>
    <n v="3090"/>
    <x v="0"/>
    <x v="0"/>
    <s v="janeiro"/>
    <n v="1"/>
  </r>
  <r>
    <n v="3091"/>
    <n v="3090"/>
    <x v="1"/>
    <s v="Maria Santos"/>
    <x v="7"/>
    <x v="2"/>
    <x v="9"/>
    <s v="P1"/>
    <n v="8"/>
    <d v="2026-01-29T00:00:00"/>
    <d v="2026-01-29T00:00:00"/>
    <x v="0"/>
    <s v="Chamado fictício para análise de SLA e rastreabilidade"/>
    <s v="Banco de Dados"/>
    <s v="Aplicações"/>
    <n v="3091"/>
    <x v="4"/>
    <x v="4"/>
    <s v="janeiro"/>
    <n v="1"/>
  </r>
  <r>
    <n v="3092"/>
    <n v="3091"/>
    <x v="4"/>
    <s v="Fernanda Alves"/>
    <x v="3"/>
    <x v="0"/>
    <x v="13"/>
    <s v="P3"/>
    <n v="9"/>
    <d v="2026-01-28T00:00:00"/>
    <d v="2026-01-28T00:00:00"/>
    <x v="0"/>
    <s v="Chamado fictício para análise de SLA e rastreabilidade"/>
    <s v="Banco de Dados"/>
    <s v="Segurança"/>
    <n v="3092"/>
    <x v="5"/>
    <x v="5"/>
    <s v="janeiro"/>
    <n v="1"/>
  </r>
  <r>
    <n v="3093"/>
    <n v="3092"/>
    <x v="3"/>
    <s v="Maria Santos"/>
    <x v="4"/>
    <x v="1"/>
    <x v="7"/>
    <s v="P5"/>
    <n v="24"/>
    <d v="2026-01-24T00:00:00"/>
    <d v="2026-01-25T00:00:00"/>
    <x v="2"/>
    <s v="Chamado fictício para análise de SLA e rastreabilidade"/>
    <s v="Banco de Dados"/>
    <s v="Service Desk"/>
    <n v="3093"/>
    <x v="2"/>
    <x v="2"/>
    <s v="janeiro"/>
    <n v="1"/>
  </r>
  <r>
    <n v="3094"/>
    <n v="3093"/>
    <x v="2"/>
    <s v="Carlos Lima"/>
    <x v="6"/>
    <x v="2"/>
    <x v="14"/>
    <s v="P1"/>
    <n v="7"/>
    <d v="2026-01-27T00:00:00"/>
    <d v="2026-01-29T00:00:00"/>
    <x v="2"/>
    <s v="Chamado fictício para análise de SLA e rastreabilidade"/>
    <s v="Banco de Dados"/>
    <s v="Cloud"/>
    <n v="3094"/>
    <x v="3"/>
    <x v="3"/>
    <s v="janeiro"/>
    <n v="1"/>
  </r>
  <r>
    <n v="3095"/>
    <m/>
    <x v="3"/>
    <s v="Carlos Lima"/>
    <x v="1"/>
    <x v="0"/>
    <x v="3"/>
    <s v="P5"/>
    <n v="28"/>
    <d v="2026-01-25T00:00:00"/>
    <d v="2026-01-26T00:00:00"/>
    <x v="1"/>
    <s v="Chamado fictício para análise de SLA e rastreabilidade"/>
    <s v="Field Service"/>
    <s v="Field Service"/>
    <n v="3095"/>
    <x v="0"/>
    <x v="0"/>
    <s v="janeiro"/>
    <n v="1"/>
  </r>
  <r>
    <n v="3096"/>
    <n v="3095"/>
    <x v="5"/>
    <s v="Fernanda Alves"/>
    <x v="1"/>
    <x v="2"/>
    <x v="7"/>
    <s v="P4"/>
    <n v="21"/>
    <d v="2026-01-22T00:00:00"/>
    <d v="2026-01-23T00:00:00"/>
    <x v="0"/>
    <s v="Chamado fictício para análise de SLA e rastreabilidade"/>
    <s v="Field Service"/>
    <s v="Field Service"/>
    <n v="3096"/>
    <x v="4"/>
    <x v="6"/>
    <s v="janeiro"/>
    <n v="1"/>
  </r>
  <r>
    <n v="3097"/>
    <n v="3095"/>
    <x v="1"/>
    <s v="João Silva"/>
    <x v="4"/>
    <x v="2"/>
    <x v="2"/>
    <s v="P1"/>
    <n v="8"/>
    <d v="2026-01-22T00:00:00"/>
    <d v="2026-01-23T00:00:00"/>
    <x v="2"/>
    <s v="Chamado fictício para análise de SLA e rastreabilidade"/>
    <s v="Field Service"/>
    <s v="Service Desk"/>
    <n v="3097"/>
    <x v="4"/>
    <x v="6"/>
    <s v="janeiro"/>
    <n v="1"/>
  </r>
  <r>
    <n v="3098"/>
    <n v="3096"/>
    <x v="4"/>
    <s v="Carlos Lima"/>
    <x v="1"/>
    <x v="0"/>
    <x v="3"/>
    <s v="P3"/>
    <n v="8"/>
    <d v="2026-01-25T00:00:00"/>
    <d v="2026-01-25T00:00:00"/>
    <x v="2"/>
    <s v="Chamado fictício para análise de SLA e rastreabilidade"/>
    <s v="Field Service"/>
    <s v="Field Service"/>
    <n v="3098"/>
    <x v="0"/>
    <x v="0"/>
    <s v="janeiro"/>
    <n v="1"/>
  </r>
  <r>
    <n v="3099"/>
    <n v="3096"/>
    <x v="5"/>
    <s v="Ana Costa"/>
    <x v="5"/>
    <x v="2"/>
    <x v="14"/>
    <s v="P5"/>
    <n v="24"/>
    <d v="2026-01-26T00:00:00"/>
    <d v="2026-01-28T00:00:00"/>
    <x v="1"/>
    <s v="Chamado fictício para análise de SLA e rastreabilidade"/>
    <s v="Field Service"/>
    <s v="Redes"/>
    <n v="3099"/>
    <x v="6"/>
    <x v="7"/>
    <s v="janeiro"/>
    <n v="1"/>
  </r>
  <r>
    <n v="3100"/>
    <m/>
    <x v="4"/>
    <s v="Ana Costa"/>
    <x v="6"/>
    <x v="1"/>
    <x v="3"/>
    <s v="P4"/>
    <n v="16"/>
    <d v="2026-01-27T00:00:00"/>
    <d v="2026-01-28T00:00:00"/>
    <x v="2"/>
    <s v="Chamado fictício para análise de SLA e rastreabilidade"/>
    <s v="Cloud"/>
    <s v="Cloud"/>
    <n v="3100"/>
    <x v="3"/>
    <x v="3"/>
    <s v="janeiro"/>
    <n v="1"/>
  </r>
  <r>
    <n v="3101"/>
    <n v="3098"/>
    <x v="5"/>
    <s v="Carlos Lima"/>
    <x v="2"/>
    <x v="3"/>
    <x v="4"/>
    <s v="P4"/>
    <n v="16"/>
    <d v="2026-01-24T00:00:00"/>
    <d v="2026-01-25T00:00:00"/>
    <x v="0"/>
    <s v="Chamado fictício para análise de SLA e rastreabilidade"/>
    <s v="Field Service"/>
    <s v="Banco de Dados"/>
    <n v="3101"/>
    <x v="2"/>
    <x v="2"/>
    <s v="janeiro"/>
    <n v="1"/>
  </r>
  <r>
    <n v="3102"/>
    <n v="3099"/>
    <x v="1"/>
    <s v="Maria Santos"/>
    <x v="1"/>
    <x v="2"/>
    <x v="9"/>
    <s v="P2"/>
    <n v="10"/>
    <d v="2026-01-21T00:00:00"/>
    <d v="2026-01-22T00:00:00"/>
    <x v="3"/>
    <s v="Chamado fictício para análise de SLA e rastreabilidade"/>
    <s v="Field Service"/>
    <s v="Field Service"/>
    <n v="3102"/>
    <x v="5"/>
    <x v="8"/>
    <s v="janeiro"/>
    <n v="1"/>
  </r>
  <r>
    <n v="3103"/>
    <n v="3101"/>
    <x v="1"/>
    <s v="Fernanda Alves"/>
    <x v="4"/>
    <x v="0"/>
    <x v="0"/>
    <s v="P4"/>
    <n v="17"/>
    <d v="2026-01-25T00:00:00"/>
    <d v="2026-01-26T00:00:00"/>
    <x v="0"/>
    <s v="Chamado fictício para análise de SLA e rastreabilidade"/>
    <s v="Field Service"/>
    <s v="Service Desk"/>
    <n v="3103"/>
    <x v="0"/>
    <x v="0"/>
    <s v="janeiro"/>
    <n v="1"/>
  </r>
  <r>
    <n v="3104"/>
    <n v="3103"/>
    <x v="0"/>
    <s v="Fernanda Alves"/>
    <x v="4"/>
    <x v="1"/>
    <x v="9"/>
    <s v="P3"/>
    <n v="9"/>
    <d v="2026-01-28T00:00:00"/>
    <d v="2026-01-29T00:00:00"/>
    <x v="3"/>
    <s v="Chamado fictício para análise de SLA e rastreabilidade"/>
    <s v="Field Service"/>
    <s v="Service Desk"/>
    <n v="3104"/>
    <x v="5"/>
    <x v="5"/>
    <s v="janeiro"/>
    <n v="1"/>
  </r>
  <r>
    <n v="3105"/>
    <m/>
    <x v="5"/>
    <s v="Fernanda Alves"/>
    <x v="5"/>
    <x v="3"/>
    <x v="13"/>
    <s v="P4"/>
    <n v="18"/>
    <d v="2026-01-26T00:00:00"/>
    <d v="2026-01-27T00:00:00"/>
    <x v="1"/>
    <s v="Chamado fictício para análise de SLA e rastreabilidade"/>
    <s v="Redes"/>
    <s v="Redes"/>
    <n v="3105"/>
    <x v="6"/>
    <x v="7"/>
    <s v="janeiro"/>
    <n v="1"/>
  </r>
  <r>
    <n v="3106"/>
    <n v="3105"/>
    <x v="5"/>
    <s v="Fernanda Alves"/>
    <x v="1"/>
    <x v="3"/>
    <x v="7"/>
    <s v="P1"/>
    <n v="7"/>
    <d v="2026-01-21T00:00:00"/>
    <d v="2026-01-22T00:00:00"/>
    <x v="3"/>
    <s v="Chamado fictício para análise de SLA e rastreabilidade"/>
    <s v="Redes"/>
    <s v="Field Service"/>
    <n v="3106"/>
    <x v="5"/>
    <x v="8"/>
    <s v="janeiro"/>
    <n v="1"/>
  </r>
  <r>
    <n v="3107"/>
    <n v="3104"/>
    <x v="0"/>
    <s v="Pedro Rocha"/>
    <x v="6"/>
    <x v="0"/>
    <x v="4"/>
    <s v="P1"/>
    <n v="5"/>
    <d v="2026-01-24T00:00:00"/>
    <d v="2026-01-25T00:00:00"/>
    <x v="1"/>
    <s v="Chamado fictício para análise de SLA e rastreabilidade"/>
    <s v="Field Service"/>
    <s v="Cloud"/>
    <n v="3107"/>
    <x v="2"/>
    <x v="2"/>
    <s v="janeiro"/>
    <n v="1"/>
  </r>
  <r>
    <n v="3108"/>
    <n v="3106"/>
    <x v="5"/>
    <s v="Maria Santos"/>
    <x v="4"/>
    <x v="0"/>
    <x v="11"/>
    <s v="P1"/>
    <n v="4"/>
    <d v="2026-01-23T00:00:00"/>
    <d v="2026-01-25T00:00:00"/>
    <x v="3"/>
    <s v="Chamado fictício para análise de SLA e rastreabilidade"/>
    <s v="Redes"/>
    <s v="Service Desk"/>
    <n v="3108"/>
    <x v="1"/>
    <x v="1"/>
    <s v="janeiro"/>
    <n v="1"/>
  </r>
  <r>
    <n v="3109"/>
    <n v="3106"/>
    <x v="5"/>
    <s v="Pedro Rocha"/>
    <x v="6"/>
    <x v="0"/>
    <x v="1"/>
    <s v="P1"/>
    <n v="5"/>
    <d v="2026-01-25T00:00:00"/>
    <d v="2026-01-27T00:00:00"/>
    <x v="3"/>
    <s v="Chamado fictício para análise de SLA e rastreabilidade"/>
    <s v="Redes"/>
    <s v="Cloud"/>
    <n v="3109"/>
    <x v="0"/>
    <x v="0"/>
    <s v="janeiro"/>
    <n v="1"/>
  </r>
  <r>
    <n v="3110"/>
    <m/>
    <x v="1"/>
    <s v="Ana Costa"/>
    <x v="3"/>
    <x v="2"/>
    <x v="12"/>
    <s v="P2"/>
    <n v="8"/>
    <d v="2026-01-27T00:00:00"/>
    <d v="2026-01-28T00:00:00"/>
    <x v="1"/>
    <s v="Chamado fictício para análise de SLA e rastreabilidade"/>
    <s v="Segurança"/>
    <s v="Segurança"/>
    <n v="3110"/>
    <x v="3"/>
    <x v="3"/>
    <s v="janeiro"/>
    <n v="1"/>
  </r>
  <r>
    <n v="3111"/>
    <n v="3110"/>
    <x v="2"/>
    <s v="João Silva"/>
    <x v="4"/>
    <x v="2"/>
    <x v="7"/>
    <s v="P1"/>
    <n v="6"/>
    <d v="2026-01-25T00:00:00"/>
    <d v="2026-01-25T00:00:00"/>
    <x v="3"/>
    <s v="Chamado fictício para análise de SLA e rastreabilidade"/>
    <s v="Segurança"/>
    <s v="Service Desk"/>
    <n v="3111"/>
    <x v="0"/>
    <x v="0"/>
    <s v="janeiro"/>
    <n v="1"/>
  </r>
  <r>
    <n v="3112"/>
    <n v="3109"/>
    <x v="4"/>
    <s v="Maria Santos"/>
    <x v="4"/>
    <x v="1"/>
    <x v="1"/>
    <s v="P2"/>
    <n v="4"/>
    <d v="2026-01-25T00:00:00"/>
    <d v="2026-01-26T00:00:00"/>
    <x v="3"/>
    <s v="Chamado fictício para análise de SLA e rastreabilidade"/>
    <s v="Redes"/>
    <s v="Service Desk"/>
    <n v="3112"/>
    <x v="0"/>
    <x v="0"/>
    <s v="janeiro"/>
    <n v="1"/>
  </r>
  <r>
    <n v="3113"/>
    <n v="3112"/>
    <x v="5"/>
    <s v="João Silva"/>
    <x v="7"/>
    <x v="3"/>
    <x v="14"/>
    <s v="P2"/>
    <n v="7"/>
    <d v="2026-01-21T00:00:00"/>
    <d v="2026-01-22T00:00:00"/>
    <x v="2"/>
    <s v="Chamado fictício para análise de SLA e rastreabilidade"/>
    <s v="Redes"/>
    <s v="Aplicações"/>
    <n v="3113"/>
    <x v="5"/>
    <x v="8"/>
    <s v="janeiro"/>
    <n v="1"/>
  </r>
  <r>
    <n v="3114"/>
    <n v="3113"/>
    <x v="4"/>
    <s v="Pedro Rocha"/>
    <x v="5"/>
    <x v="3"/>
    <x v="7"/>
    <s v="P3"/>
    <n v="13"/>
    <d v="2026-01-24T00:00:00"/>
    <d v="2026-01-26T00:00:00"/>
    <x v="1"/>
    <s v="Chamado fictício para análise de SLA e rastreabilidade"/>
    <s v="Redes"/>
    <s v="Redes"/>
    <n v="3114"/>
    <x v="2"/>
    <x v="2"/>
    <s v="janeiro"/>
    <n v="1"/>
  </r>
  <r>
    <n v="3115"/>
    <m/>
    <x v="2"/>
    <s v="Carlos Lima"/>
    <x v="7"/>
    <x v="0"/>
    <x v="11"/>
    <s v="P3"/>
    <n v="11"/>
    <d v="2026-01-23T00:00:00"/>
    <d v="2026-01-25T00:00:00"/>
    <x v="0"/>
    <s v="Chamado fictício para análise de SLA e rastreabilidade"/>
    <s v="Aplicações"/>
    <s v="Aplicações"/>
    <n v="3115"/>
    <x v="1"/>
    <x v="1"/>
    <s v="janeiro"/>
    <n v="1"/>
  </r>
  <r>
    <n v="3116"/>
    <n v="3113"/>
    <x v="1"/>
    <s v="Fernanda Alves"/>
    <x v="5"/>
    <x v="3"/>
    <x v="11"/>
    <s v="P3"/>
    <n v="9"/>
    <d v="2026-01-25T00:00:00"/>
    <d v="2026-01-27T00:00:00"/>
    <x v="3"/>
    <s v="Chamado fictício para análise de SLA e rastreabilidade"/>
    <s v="Redes"/>
    <s v="Redes"/>
    <n v="3116"/>
    <x v="0"/>
    <x v="0"/>
    <s v="janeiro"/>
    <n v="1"/>
  </r>
  <r>
    <n v="3117"/>
    <n v="3114"/>
    <x v="5"/>
    <s v="Fernanda Alves"/>
    <x v="7"/>
    <x v="1"/>
    <x v="2"/>
    <s v="P1"/>
    <n v="2"/>
    <d v="2026-01-27T00:00:00"/>
    <d v="2026-01-28T00:00:00"/>
    <x v="2"/>
    <s v="Chamado fictício para análise de SLA e rastreabilidade"/>
    <s v="Redes"/>
    <s v="Aplicações"/>
    <n v="3117"/>
    <x v="3"/>
    <x v="3"/>
    <s v="janeiro"/>
    <n v="1"/>
  </r>
  <r>
    <n v="3118"/>
    <n v="3116"/>
    <x v="3"/>
    <s v="Ana Costa"/>
    <x v="0"/>
    <x v="2"/>
    <x v="13"/>
    <s v="P4"/>
    <n v="21"/>
    <d v="2026-01-27T00:00:00"/>
    <d v="2026-01-29T00:00:00"/>
    <x v="3"/>
    <s v="Chamado fictício para análise de SLA e rastreabilidade"/>
    <s v="Redes"/>
    <s v="Infraestrutura"/>
    <n v="3118"/>
    <x v="3"/>
    <x v="3"/>
    <s v="janeiro"/>
    <n v="1"/>
  </r>
  <r>
    <n v="3119"/>
    <n v="3117"/>
    <x v="2"/>
    <s v="João Silva"/>
    <x v="6"/>
    <x v="2"/>
    <x v="2"/>
    <s v="P5"/>
    <n v="29"/>
    <d v="2026-01-24T00:00:00"/>
    <d v="2026-01-25T00:00:00"/>
    <x v="0"/>
    <s v="Chamado fictício para análise de SLA e rastreabilidade"/>
    <s v="Redes"/>
    <s v="Cloud"/>
    <n v="3119"/>
    <x v="2"/>
    <x v="2"/>
    <s v="janeir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FC127-E2E2-4299-B892-728EA405D9A9}" name="Tabela dinâmica7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S2:T18" firstHeaderRow="1" firstDataRow="1" firstDataCol="1"/>
  <pivotFields count="20">
    <pivotField showAll="0"/>
    <pivotField showAll="0"/>
    <pivotField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>
      <items count="9">
        <item x="7"/>
        <item x="2"/>
        <item x="6"/>
        <item x="1"/>
        <item x="0"/>
        <item x="5"/>
        <item x="3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Row" showAll="0" sortType="descending">
      <items count="16">
        <item x="3"/>
        <item x="13"/>
        <item x="4"/>
        <item x="5"/>
        <item x="11"/>
        <item x="7"/>
        <item x="2"/>
        <item x="14"/>
        <item x="10"/>
        <item x="12"/>
        <item x="6"/>
        <item x="0"/>
        <item x="8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6"/>
        <item x="3"/>
        <item x="5"/>
        <item x="4"/>
        <item x="1"/>
        <item x="2"/>
        <item t="default"/>
      </items>
    </pivotField>
    <pivotField showAll="0">
      <items count="10">
        <item x="8"/>
        <item x="2"/>
        <item x="6"/>
        <item x="1"/>
        <item x="0"/>
        <item x="7"/>
        <item x="3"/>
        <item x="5"/>
        <item x="4"/>
        <item t="default"/>
      </items>
    </pivotField>
    <pivotField showAll="0"/>
    <pivotField dataField="1" showAll="0"/>
  </pivotFields>
  <rowFields count="1">
    <field x="6"/>
  </rowFields>
  <rowItems count="16">
    <i>
      <x v="11"/>
    </i>
    <i>
      <x v="4"/>
    </i>
    <i>
      <x v="14"/>
    </i>
    <i>
      <x v="2"/>
    </i>
    <i>
      <x/>
    </i>
    <i>
      <x v="13"/>
    </i>
    <i>
      <x v="6"/>
    </i>
    <i>
      <x v="5"/>
    </i>
    <i>
      <x v="1"/>
    </i>
    <i>
      <x v="7"/>
    </i>
    <i>
      <x v="10"/>
    </i>
    <i>
      <x v="9"/>
    </i>
    <i>
      <x v="3"/>
    </i>
    <i>
      <x v="12"/>
    </i>
    <i>
      <x v="8"/>
    </i>
    <i t="grand">
      <x/>
    </i>
  </rowItems>
  <colItems count="1">
    <i/>
  </colItems>
  <dataFields count="1">
    <dataField name="Soma de cont" fld="19" baseField="0" baseItem="0"/>
  </dataFields>
  <formats count="5">
    <format dxfId="779">
      <pivotArea type="all" dataOnly="0" outline="0" fieldPosition="0"/>
    </format>
    <format dxfId="780">
      <pivotArea outline="0" collapsedLevelsAreSubtotals="1" fieldPosition="0"/>
    </format>
    <format dxfId="781">
      <pivotArea field="5" type="button" dataOnly="0" labelOnly="1" outline="0"/>
    </format>
    <format dxfId="782">
      <pivotArea dataOnly="0" labelOnly="1" grandRow="1" outline="0" fieldPosition="0"/>
    </format>
    <format dxfId="783">
      <pivotArea dataOnly="0" labelOnly="1" outline="0" axis="axisValues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584CE-BA81-4C7F-8C3C-88E10AD55B2C}" name="Tabela dinâmica6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P2:Q9" firstHeaderRow="1" firstDataRow="1" firstDataCol="1"/>
  <pivotFields count="20">
    <pivotField showAll="0"/>
    <pivotField showAll="0"/>
    <pivotField axis="axisRow" showAll="0">
      <items count="7">
        <item x="3"/>
        <item x="4"/>
        <item x="2"/>
        <item x="5"/>
        <item x="1"/>
        <item x="0"/>
        <item t="default"/>
      </items>
    </pivotField>
    <pivotField showAll="0"/>
    <pivotField showAll="0">
      <items count="9">
        <item x="7"/>
        <item x="2"/>
        <item x="6"/>
        <item x="1"/>
        <item x="0"/>
        <item x="5"/>
        <item x="3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6"/>
        <item x="3"/>
        <item x="5"/>
        <item x="4"/>
        <item x="1"/>
        <item x="2"/>
        <item t="default"/>
      </items>
    </pivotField>
    <pivotField showAll="0">
      <items count="10">
        <item x="8"/>
        <item x="2"/>
        <item x="6"/>
        <item x="1"/>
        <item x="0"/>
        <item x="7"/>
        <item x="3"/>
        <item x="5"/>
        <item x="4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cont" fld="19" baseField="0" baseItem="0"/>
  </dataFields>
  <formats count="5">
    <format dxfId="784">
      <pivotArea type="all" dataOnly="0" outline="0" fieldPosition="0"/>
    </format>
    <format dxfId="785">
      <pivotArea outline="0" collapsedLevelsAreSubtotals="1" fieldPosition="0"/>
    </format>
    <format dxfId="786">
      <pivotArea field="5" type="button" dataOnly="0" labelOnly="1" outline="0"/>
    </format>
    <format dxfId="787">
      <pivotArea dataOnly="0" labelOnly="1" grandRow="1" outline="0" fieldPosition="0"/>
    </format>
    <format dxfId="788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F49DF-9CE5-4E9F-BBE3-96C623B431D4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2:N12" firstHeaderRow="1" firstDataRow="1" firstDataCol="1"/>
  <pivotFields count="20">
    <pivotField showAll="0"/>
    <pivotField showAll="0"/>
    <pivotField showAll="0"/>
    <pivotField showAll="0"/>
    <pivotField showAll="0">
      <items count="9">
        <item x="7"/>
        <item x="2"/>
        <item x="6"/>
        <item x="1"/>
        <item x="0"/>
        <item x="5"/>
        <item x="3"/>
        <item x="4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8">
        <item x="0"/>
        <item x="6"/>
        <item x="3"/>
        <item x="5"/>
        <item x="4"/>
        <item x="1"/>
        <item x="2"/>
        <item t="default"/>
      </items>
    </pivotField>
    <pivotField axis="axisRow" showAll="0" sortType="descending">
      <items count="10">
        <item x="8"/>
        <item x="6"/>
        <item x="1"/>
        <item x="2"/>
        <item x="0"/>
        <item x="7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7"/>
  </rowFields>
  <rowItems count="10">
    <i>
      <x v="4"/>
    </i>
    <i>
      <x v="5"/>
    </i>
    <i>
      <x v="6"/>
    </i>
    <i>
      <x v="3"/>
    </i>
    <i>
      <x v="1"/>
    </i>
    <i>
      <x v="7"/>
    </i>
    <i>
      <x v="2"/>
    </i>
    <i>
      <x/>
    </i>
    <i>
      <x v="8"/>
    </i>
    <i t="grand">
      <x/>
    </i>
  </rowItems>
  <colItems count="1">
    <i/>
  </colItems>
  <dataFields count="1">
    <dataField name="Soma de cont" fld="19" baseField="0" baseItem="0"/>
  </dataFields>
  <formats count="5">
    <format dxfId="789">
      <pivotArea type="all" dataOnly="0" outline="0" fieldPosition="0"/>
    </format>
    <format dxfId="790">
      <pivotArea outline="0" collapsedLevelsAreSubtotals="1" fieldPosition="0"/>
    </format>
    <format dxfId="791">
      <pivotArea field="5" type="button" dataOnly="0" labelOnly="1" outline="0"/>
    </format>
    <format dxfId="792">
      <pivotArea dataOnly="0" labelOnly="1" grandRow="1" outline="0" fieldPosition="0"/>
    </format>
    <format dxfId="79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22817-3D4D-43AC-BA85-D259E7A94E5E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J2:K10" firstHeaderRow="1" firstDataRow="1" firstDataCol="1"/>
  <pivotFields count="20">
    <pivotField showAll="0"/>
    <pivotField showAll="0"/>
    <pivotField showAll="0"/>
    <pivotField showAll="0"/>
    <pivotField showAll="0" sortType="descending">
      <items count="9">
        <item x="7"/>
        <item x="2"/>
        <item x="6"/>
        <item x="1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6"/>
        <item x="3"/>
        <item x="5"/>
        <item x="4"/>
        <item x="1"/>
        <item x="2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cont" fld="19" baseField="0" baseItem="0"/>
  </dataFields>
  <formats count="5">
    <format dxfId="794">
      <pivotArea type="all" dataOnly="0" outline="0" fieldPosition="0"/>
    </format>
    <format dxfId="795">
      <pivotArea outline="0" collapsedLevelsAreSubtotals="1" fieldPosition="0"/>
    </format>
    <format dxfId="796">
      <pivotArea field="5" type="button" dataOnly="0" labelOnly="1" outline="0"/>
    </format>
    <format dxfId="797">
      <pivotArea dataOnly="0" labelOnly="1" grandRow="1" outline="0" fieldPosition="0"/>
    </format>
    <format dxfId="798">
      <pivotArea dataOnly="0" labelOnly="1" outline="0" axis="axisValues" fieldPosition="0"/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3B3CA-5192-4C87-AAD8-A12D65C268F4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G2:H7" firstHeaderRow="1" firstDataRow="1" firstDataCol="1"/>
  <pivotFields count="20">
    <pivotField showAll="0"/>
    <pivotField showAll="0"/>
    <pivotField showAll="0"/>
    <pivotField showAll="0"/>
    <pivotField showAll="0" sortType="descending">
      <items count="9">
        <item x="7"/>
        <item x="2"/>
        <item x="6"/>
        <item x="1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cont" fld="19" baseField="0" baseItem="0"/>
  </dataFields>
  <formats count="5">
    <format dxfId="799">
      <pivotArea type="all" dataOnly="0" outline="0" fieldPosition="0"/>
    </format>
    <format dxfId="800">
      <pivotArea outline="0" collapsedLevelsAreSubtotals="1" fieldPosition="0"/>
    </format>
    <format dxfId="801">
      <pivotArea field="5" type="button" dataOnly="0" labelOnly="1" outline="0"/>
    </format>
    <format dxfId="802">
      <pivotArea dataOnly="0" labelOnly="1" grandRow="1" outline="0" fieldPosition="0"/>
    </format>
    <format dxfId="803">
      <pivotArea dataOnly="0" labelOnly="1" outline="0" axis="axisValues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3F384-42B5-4B77-A713-D3A08D7AC3E6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D2:E11" firstHeaderRow="1" firstDataRow="1" firstDataCol="1"/>
  <pivotFields count="20">
    <pivotField showAll="0"/>
    <pivotField showAll="0"/>
    <pivotField showAll="0"/>
    <pivotField showAll="0"/>
    <pivotField axis="axisRow" showAll="0" sortType="descending">
      <items count="9">
        <item x="7"/>
        <item x="2"/>
        <item x="6"/>
        <item x="1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 v="7"/>
    </i>
    <i>
      <x v="5"/>
    </i>
    <i>
      <x v="2"/>
    </i>
    <i>
      <x v="3"/>
    </i>
    <i>
      <x v="1"/>
    </i>
    <i>
      <x v="6"/>
    </i>
    <i>
      <x/>
    </i>
    <i>
      <x v="4"/>
    </i>
    <i t="grand">
      <x/>
    </i>
  </rowItems>
  <colItems count="1">
    <i/>
  </colItems>
  <dataFields count="1">
    <dataField name="Soma de cont" fld="19" baseField="0" baseItem="0"/>
  </dataFields>
  <formats count="5">
    <format dxfId="804">
      <pivotArea type="all" dataOnly="0" outline="0" fieldPosition="0"/>
    </format>
    <format dxfId="805">
      <pivotArea outline="0" collapsedLevelsAreSubtotals="1" fieldPosition="0"/>
    </format>
    <format dxfId="806">
      <pivotArea field="5" type="button" dataOnly="0" labelOnly="1" outline="0"/>
    </format>
    <format dxfId="807">
      <pivotArea dataOnly="0" labelOnly="1" grandRow="1" outline="0" fieldPosition="0"/>
    </format>
    <format dxfId="808">
      <pivotArea dataOnly="0" labelOnly="1" outline="0" axis="axisValues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2AE8A-AE66-41DB-AA59-2533080B4662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2:B7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oma de cont" fld="19" baseField="0" baseItem="0"/>
  </dataFields>
  <formats count="6">
    <format dxfId="773">
      <pivotArea type="all" dataOnly="0" outline="0" fieldPosition="0"/>
    </format>
    <format dxfId="774">
      <pivotArea outline="0" collapsedLevelsAreSubtotals="1" fieldPosition="0"/>
    </format>
    <format dxfId="775">
      <pivotArea field="5" type="button" dataOnly="0" labelOnly="1" outline="0" axis="axisRow" fieldPosition="0"/>
    </format>
    <format dxfId="776">
      <pivotArea dataOnly="0" labelOnly="1" fieldPosition="0">
        <references count="1">
          <reference field="5" count="0"/>
        </references>
      </pivotArea>
    </format>
    <format dxfId="777">
      <pivotArea dataOnly="0" labelOnly="1" grandRow="1" outline="0" fieldPosition="0"/>
    </format>
    <format dxfId="7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54F5669-C9D8-46B2-A4AA-C3E8F626AC58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Numero_Chamado" tableColumnId="1"/>
      <queryTableField id="2" name="Numero_Subchamado" tableColumnId="2"/>
      <queryTableField id="3" name="Aberto_por" tableColumnId="3"/>
      <queryTableField id="4" name="Atribuido_Para" tableColumnId="4"/>
      <queryTableField id="5" name="Grupo" tableColumnId="5"/>
      <queryTableField id="6" name="Contrato" tableColumnId="6"/>
      <queryTableField id="7" name="Tipo_Chamado" tableColumnId="7"/>
      <queryTableField id="8" name="Tipo_SLA" tableColumnId="8"/>
      <queryTableField id="9" name="SLA_Horas" tableColumnId="9"/>
      <queryTableField id="10" name="Data_Abertura" tableColumnId="10"/>
      <queryTableField id="11" name="Data_Ultima_Atualizacao" tableColumnId="11"/>
      <queryTableField id="12" name="Status" tableColumnId="12"/>
      <queryTableField id="13" name="Descricao" tableColumnId="13"/>
      <queryTableField id="14" name="Grupo_Chamado_Raiz" tableColumnId="14"/>
      <queryTableField id="15" name="Grupo_Subchamado" tableColumnId="15"/>
      <queryTableField id="16" name="Chamados_Raiz" tableColumnId="16"/>
      <queryTableField id="17" name="Nome do Dia" tableColumnId="17"/>
      <queryTableField id="18" name="Dia" tableColumnId="18"/>
      <queryTableField id="19" name="Nome do Mês" tableColumnId="19"/>
      <queryTableField id="20" dataBound="0" tableColumnId="2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rato" xr10:uid="{CB976455-96ED-4A99-B09A-8075EE45EAB2}" sourceName="Contrato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580668266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trato" xr10:uid="{E7B9056F-C7A4-490C-8DF5-13A156479E2F}" cache="SegmentaçãodeDados_Contrato" caption="Contrato" columnCount="4" rowHeight="25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977E3-F119-4071-9D81-92AE0F4AD952}" name="Sheet1" displayName="Sheet1" ref="A1:T121" tableType="queryTable" totalsRowShown="0" dataDxfId="810">
  <autoFilter ref="A1:T121" xr:uid="{D1F977E3-F119-4071-9D81-92AE0F4AD952}"/>
  <tableColumns count="20">
    <tableColumn id="1" xr3:uid="{FB3F0EF5-403E-477E-AFB8-A06296CF0D3C}" uniqueName="1" name="Numero_Chamado" queryTableFieldId="1" dataDxfId="829"/>
    <tableColumn id="2" xr3:uid="{DFD67EB1-71A8-46C0-876F-F9C2983132E9}" uniqueName="2" name="Numero_Subchamado" queryTableFieldId="2" dataDxfId="828"/>
    <tableColumn id="3" xr3:uid="{DCD85DD7-B68E-4FCE-A4CB-F3DA62D7968E}" uniqueName="3" name="Aberto_por" queryTableFieldId="3" dataDxfId="827"/>
    <tableColumn id="4" xr3:uid="{180A0840-B7B5-4152-AC8A-9ADA8CB61AD6}" uniqueName="4" name="Atribuido_Para" queryTableFieldId="4" dataDxfId="826"/>
    <tableColumn id="5" xr3:uid="{00C8E421-2369-4EF9-92F3-EDE4D39E1D98}" uniqueName="5" name="Grupo" queryTableFieldId="5" dataDxfId="825"/>
    <tableColumn id="6" xr3:uid="{A6D97F04-5F0A-4A2E-9408-BF3242FACBAF}" uniqueName="6" name="Contrato" queryTableFieldId="6" dataDxfId="824"/>
    <tableColumn id="7" xr3:uid="{6937E4A5-5A08-4B6C-B034-6023F638F00D}" uniqueName="7" name="Tipo_Chamado" queryTableFieldId="7" dataDxfId="823"/>
    <tableColumn id="8" xr3:uid="{7C9F63D5-B294-4D5D-89F9-2BC2B09DCABA}" uniqueName="8" name="Tipo_SLA" queryTableFieldId="8" dataDxfId="822"/>
    <tableColumn id="9" xr3:uid="{F51D73BF-A637-49AF-9D22-C653218BCB3A}" uniqueName="9" name="SLA_Horas" queryTableFieldId="9" dataDxfId="821"/>
    <tableColumn id="10" xr3:uid="{DDB1C43D-FCB9-4BFF-B033-155B7ABDFF9B}" uniqueName="10" name="Data_Abertura" queryTableFieldId="10" dataDxfId="820"/>
    <tableColumn id="11" xr3:uid="{8F92E5ED-6347-4343-9F80-BF6ABA8BFA72}" uniqueName="11" name="Data_Ultima_Atualizacao" queryTableFieldId="11" dataDxfId="819"/>
    <tableColumn id="12" xr3:uid="{F2BE1838-307A-466E-B842-2C019D4AC4DA}" uniqueName="12" name="Status" queryTableFieldId="12" dataDxfId="818"/>
    <tableColumn id="13" xr3:uid="{852A9A36-B4DA-45D7-9727-E5B4BFD88E1E}" uniqueName="13" name="Descricao" queryTableFieldId="13" dataDxfId="817"/>
    <tableColumn id="14" xr3:uid="{2417C51F-1C80-48B0-9BDE-AE876511D92B}" uniqueName="14" name="Grupo_Chamado_Raiz" queryTableFieldId="14" dataDxfId="816"/>
    <tableColumn id="15" xr3:uid="{F05ACB8C-3C4E-43F3-82FD-434D5D7294DF}" uniqueName="15" name="Grupo_Subchamado" queryTableFieldId="15" dataDxfId="815"/>
    <tableColumn id="16" xr3:uid="{5B5BA88A-FCF9-4FB1-BD0B-3169A31090C0}" uniqueName="16" name="Chamados_Raiz" queryTableFieldId="16" dataDxfId="814"/>
    <tableColumn id="17" xr3:uid="{EE09E925-7EA9-4CAF-9CDE-BA5D83D3CA56}" uniqueName="17" name="Nome do Dia" queryTableFieldId="17" dataDxfId="813"/>
    <tableColumn id="18" xr3:uid="{00532326-8419-43DC-9ECD-C0672B558F7A}" uniqueName="18" name="Dia" queryTableFieldId="18" dataDxfId="812"/>
    <tableColumn id="19" xr3:uid="{439A292B-141F-471F-AFC9-4B5EA17A58E3}" uniqueName="19" name="Nome do Mês" queryTableFieldId="19" dataDxfId="811"/>
    <tableColumn id="20" xr3:uid="{188E2F75-14FC-4707-9E66-E17D0A2B191D}" uniqueName="20" name="cont" queryTableFieldId="20" dataDxfId="80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2FBA-B3D4-4B77-A92A-8E43A1D948F6}">
  <dimension ref="A1:T121"/>
  <sheetViews>
    <sheetView zoomScale="90" zoomScaleNormal="90" workbookViewId="0">
      <selection activeCell="D14" sqref="D14"/>
    </sheetView>
  </sheetViews>
  <sheetFormatPr defaultRowHeight="15" x14ac:dyDescent="0.25"/>
  <cols>
    <col min="1" max="1" width="20.28515625" bestFit="1" customWidth="1"/>
    <col min="2" max="2" width="23.28515625" bestFit="1" customWidth="1"/>
    <col min="3" max="3" width="14.5703125" bestFit="1" customWidth="1"/>
    <col min="4" max="4" width="16.42578125" bestFit="1" customWidth="1"/>
    <col min="5" max="5" width="15.42578125" bestFit="1" customWidth="1"/>
    <col min="6" max="6" width="15.28515625" bestFit="1" customWidth="1"/>
    <col min="7" max="7" width="16.7109375" bestFit="1" customWidth="1"/>
    <col min="8" max="8" width="11.28515625" bestFit="1" customWidth="1"/>
    <col min="9" max="9" width="12.7109375" bestFit="1" customWidth="1"/>
    <col min="10" max="10" width="16.140625" bestFit="1" customWidth="1"/>
    <col min="11" max="11" width="25.5703125" bestFit="1" customWidth="1"/>
    <col min="12" max="12" width="15.42578125" bestFit="1" customWidth="1"/>
    <col min="13" max="13" width="50.42578125" bestFit="1" customWidth="1"/>
    <col min="14" max="14" width="23.140625" bestFit="1" customWidth="1"/>
    <col min="15" max="15" width="21.5703125" bestFit="1" customWidth="1"/>
    <col min="16" max="16" width="17.5703125" bestFit="1" customWidth="1"/>
    <col min="17" max="17" width="14.85546875" bestFit="1" customWidth="1"/>
    <col min="18" max="18" width="6.28515625" bestFit="1" customWidth="1"/>
    <col min="19" max="19" width="15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70</v>
      </c>
    </row>
    <row r="2" spans="1:20" x14ac:dyDescent="0.25">
      <c r="A2" s="1">
        <v>3000</v>
      </c>
      <c r="B2" s="1"/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1">
        <v>6</v>
      </c>
      <c r="J2" s="3">
        <v>46047</v>
      </c>
      <c r="K2" s="3">
        <v>46048</v>
      </c>
      <c r="L2" s="2" t="s">
        <v>25</v>
      </c>
      <c r="M2" s="2" t="s">
        <v>26</v>
      </c>
      <c r="N2" s="2" t="s">
        <v>21</v>
      </c>
      <c r="O2" s="2" t="s">
        <v>21</v>
      </c>
      <c r="P2" s="1">
        <v>3000</v>
      </c>
      <c r="Q2" s="2" t="s">
        <v>27</v>
      </c>
      <c r="R2" s="1">
        <v>25</v>
      </c>
      <c r="S2" s="2" t="s">
        <v>28</v>
      </c>
      <c r="T2" s="2">
        <v>1</v>
      </c>
    </row>
    <row r="3" spans="1:20" x14ac:dyDescent="0.25">
      <c r="A3" s="1">
        <v>3001</v>
      </c>
      <c r="B3" s="1">
        <v>3000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>
        <v>12</v>
      </c>
      <c r="J3" s="3">
        <v>46045</v>
      </c>
      <c r="K3" s="3">
        <v>46046</v>
      </c>
      <c r="L3" s="2" t="s">
        <v>25</v>
      </c>
      <c r="M3" s="2" t="s">
        <v>26</v>
      </c>
      <c r="N3" s="2" t="s">
        <v>21</v>
      </c>
      <c r="O3" s="2" t="s">
        <v>31</v>
      </c>
      <c r="P3" s="1">
        <v>3001</v>
      </c>
      <c r="Q3" s="2" t="s">
        <v>35</v>
      </c>
      <c r="R3" s="1">
        <v>23</v>
      </c>
      <c r="S3" s="2" t="s">
        <v>28</v>
      </c>
      <c r="T3" s="2">
        <v>1</v>
      </c>
    </row>
    <row r="4" spans="1:20" x14ac:dyDescent="0.25">
      <c r="A4" s="1">
        <v>3002</v>
      </c>
      <c r="B4" s="1">
        <v>2999</v>
      </c>
      <c r="C4" s="2" t="s">
        <v>36</v>
      </c>
      <c r="D4" s="2" t="s">
        <v>30</v>
      </c>
      <c r="E4" s="2" t="s">
        <v>37</v>
      </c>
      <c r="F4" s="2" t="s">
        <v>32</v>
      </c>
      <c r="G4" s="2" t="s">
        <v>33</v>
      </c>
      <c r="H4" s="2" t="s">
        <v>38</v>
      </c>
      <c r="I4" s="1">
        <v>28</v>
      </c>
      <c r="J4" s="3">
        <v>46047</v>
      </c>
      <c r="K4" s="3">
        <v>46048</v>
      </c>
      <c r="L4" s="2" t="s">
        <v>39</v>
      </c>
      <c r="M4" s="2" t="s">
        <v>26</v>
      </c>
      <c r="N4" s="2" t="s">
        <v>40</v>
      </c>
      <c r="O4" s="2" t="s">
        <v>37</v>
      </c>
      <c r="P4" s="1" t="s">
        <v>40</v>
      </c>
      <c r="Q4" s="2" t="s">
        <v>27</v>
      </c>
      <c r="R4" s="1">
        <v>25</v>
      </c>
      <c r="S4" s="2" t="s">
        <v>28</v>
      </c>
      <c r="T4" s="2">
        <v>1</v>
      </c>
    </row>
    <row r="5" spans="1:20" x14ac:dyDescent="0.25">
      <c r="A5" s="1">
        <v>3003</v>
      </c>
      <c r="B5" s="1">
        <v>3002</v>
      </c>
      <c r="C5" s="2" t="s">
        <v>19</v>
      </c>
      <c r="D5" s="2" t="s">
        <v>20</v>
      </c>
      <c r="E5" s="2" t="s">
        <v>23</v>
      </c>
      <c r="F5" s="2" t="s">
        <v>22</v>
      </c>
      <c r="G5" s="2" t="s">
        <v>41</v>
      </c>
      <c r="H5" s="2" t="s">
        <v>34</v>
      </c>
      <c r="I5" s="1">
        <v>14</v>
      </c>
      <c r="J5" s="3">
        <v>46047</v>
      </c>
      <c r="K5" s="3">
        <v>46049</v>
      </c>
      <c r="L5" s="2" t="s">
        <v>39</v>
      </c>
      <c r="M5" s="2" t="s">
        <v>26</v>
      </c>
      <c r="N5" s="2" t="s">
        <v>40</v>
      </c>
      <c r="O5" s="2" t="s">
        <v>23</v>
      </c>
      <c r="P5" s="1" t="s">
        <v>40</v>
      </c>
      <c r="Q5" s="2" t="s">
        <v>27</v>
      </c>
      <c r="R5" s="1">
        <v>25</v>
      </c>
      <c r="S5" s="2" t="s">
        <v>28</v>
      </c>
      <c r="T5" s="2">
        <v>1</v>
      </c>
    </row>
    <row r="6" spans="1:20" x14ac:dyDescent="0.25">
      <c r="A6" s="1">
        <v>3004</v>
      </c>
      <c r="B6" s="1">
        <v>3003</v>
      </c>
      <c r="C6" s="2" t="s">
        <v>36</v>
      </c>
      <c r="D6" s="2" t="s">
        <v>30</v>
      </c>
      <c r="E6" s="2" t="s">
        <v>42</v>
      </c>
      <c r="F6" s="2" t="s">
        <v>32</v>
      </c>
      <c r="G6" s="2" t="s">
        <v>43</v>
      </c>
      <c r="H6" s="2" t="s">
        <v>38</v>
      </c>
      <c r="I6" s="1">
        <v>24</v>
      </c>
      <c r="J6" s="3">
        <v>46046</v>
      </c>
      <c r="K6" s="3">
        <v>46046</v>
      </c>
      <c r="L6" s="2" t="s">
        <v>44</v>
      </c>
      <c r="M6" s="2" t="s">
        <v>26</v>
      </c>
      <c r="N6" s="2" t="s">
        <v>40</v>
      </c>
      <c r="O6" s="2" t="s">
        <v>42</v>
      </c>
      <c r="P6" s="1" t="s">
        <v>40</v>
      </c>
      <c r="Q6" s="2" t="s">
        <v>45</v>
      </c>
      <c r="R6" s="1">
        <v>24</v>
      </c>
      <c r="S6" s="2" t="s">
        <v>28</v>
      </c>
      <c r="T6" s="2">
        <v>1</v>
      </c>
    </row>
    <row r="7" spans="1:20" x14ac:dyDescent="0.25">
      <c r="A7" s="1">
        <v>3005</v>
      </c>
      <c r="B7" s="1"/>
      <c r="C7" s="2" t="s">
        <v>36</v>
      </c>
      <c r="D7" s="2" t="s">
        <v>46</v>
      </c>
      <c r="E7" s="2" t="s">
        <v>23</v>
      </c>
      <c r="F7" s="2" t="s">
        <v>47</v>
      </c>
      <c r="G7" s="2" t="s">
        <v>48</v>
      </c>
      <c r="H7" s="2" t="s">
        <v>38</v>
      </c>
      <c r="I7" s="1">
        <v>26</v>
      </c>
      <c r="J7" s="3">
        <v>46045</v>
      </c>
      <c r="K7" s="3">
        <v>46045</v>
      </c>
      <c r="L7" s="2" t="s">
        <v>44</v>
      </c>
      <c r="M7" s="2" t="s">
        <v>26</v>
      </c>
      <c r="N7" s="2" t="s">
        <v>23</v>
      </c>
      <c r="O7" s="2" t="s">
        <v>23</v>
      </c>
      <c r="P7" s="1">
        <v>3005</v>
      </c>
      <c r="Q7" s="2" t="s">
        <v>35</v>
      </c>
      <c r="R7" s="1">
        <v>23</v>
      </c>
      <c r="S7" s="2" t="s">
        <v>28</v>
      </c>
      <c r="T7" s="2">
        <v>1</v>
      </c>
    </row>
    <row r="8" spans="1:20" x14ac:dyDescent="0.25">
      <c r="A8" s="1">
        <v>3006</v>
      </c>
      <c r="B8" s="1">
        <v>3004</v>
      </c>
      <c r="C8" s="2" t="s">
        <v>20</v>
      </c>
      <c r="D8" s="2" t="s">
        <v>19</v>
      </c>
      <c r="E8" s="2" t="s">
        <v>49</v>
      </c>
      <c r="F8" s="2" t="s">
        <v>47</v>
      </c>
      <c r="G8" s="2" t="s">
        <v>37</v>
      </c>
      <c r="H8" s="2" t="s">
        <v>38</v>
      </c>
      <c r="I8" s="1">
        <v>28</v>
      </c>
      <c r="J8" s="3">
        <v>46049</v>
      </c>
      <c r="K8" s="3">
        <v>46050</v>
      </c>
      <c r="L8" s="2" t="s">
        <v>50</v>
      </c>
      <c r="M8" s="2" t="s">
        <v>26</v>
      </c>
      <c r="N8" s="2" t="s">
        <v>40</v>
      </c>
      <c r="O8" s="2" t="s">
        <v>49</v>
      </c>
      <c r="P8" s="1" t="s">
        <v>40</v>
      </c>
      <c r="Q8" s="2" t="s">
        <v>51</v>
      </c>
      <c r="R8" s="1">
        <v>27</v>
      </c>
      <c r="S8" s="2" t="s">
        <v>28</v>
      </c>
      <c r="T8" s="2">
        <v>1</v>
      </c>
    </row>
    <row r="9" spans="1:20" x14ac:dyDescent="0.25">
      <c r="A9" s="1">
        <v>3007</v>
      </c>
      <c r="B9" s="1">
        <v>3005</v>
      </c>
      <c r="C9" s="2" t="s">
        <v>29</v>
      </c>
      <c r="D9" s="2" t="s">
        <v>36</v>
      </c>
      <c r="E9" s="2" t="s">
        <v>23</v>
      </c>
      <c r="F9" s="2" t="s">
        <v>22</v>
      </c>
      <c r="G9" s="2" t="s">
        <v>52</v>
      </c>
      <c r="H9" s="2" t="s">
        <v>34</v>
      </c>
      <c r="I9" s="1">
        <v>10</v>
      </c>
      <c r="J9" s="3">
        <v>46051</v>
      </c>
      <c r="K9" s="3">
        <v>46052</v>
      </c>
      <c r="L9" s="2" t="s">
        <v>44</v>
      </c>
      <c r="M9" s="2" t="s">
        <v>26</v>
      </c>
      <c r="N9" s="2" t="s">
        <v>23</v>
      </c>
      <c r="O9" s="2" t="s">
        <v>23</v>
      </c>
      <c r="P9" s="1">
        <v>3007</v>
      </c>
      <c r="Q9" s="2" t="s">
        <v>53</v>
      </c>
      <c r="R9" s="1">
        <v>29</v>
      </c>
      <c r="S9" s="2" t="s">
        <v>28</v>
      </c>
      <c r="T9" s="2">
        <v>1</v>
      </c>
    </row>
    <row r="10" spans="1:20" x14ac:dyDescent="0.25">
      <c r="A10" s="1">
        <v>3008</v>
      </c>
      <c r="B10" s="1">
        <v>3006</v>
      </c>
      <c r="C10" s="2" t="s">
        <v>29</v>
      </c>
      <c r="D10" s="2" t="s">
        <v>36</v>
      </c>
      <c r="E10" s="2" t="s">
        <v>54</v>
      </c>
      <c r="F10" s="2" t="s">
        <v>32</v>
      </c>
      <c r="G10" s="2" t="s">
        <v>43</v>
      </c>
      <c r="H10" s="2" t="s">
        <v>55</v>
      </c>
      <c r="I10" s="1">
        <v>9</v>
      </c>
      <c r="J10" s="3">
        <v>46046</v>
      </c>
      <c r="K10" s="3">
        <v>46046</v>
      </c>
      <c r="L10" s="2" t="s">
        <v>44</v>
      </c>
      <c r="M10" s="2" t="s">
        <v>26</v>
      </c>
      <c r="N10" s="2" t="s">
        <v>40</v>
      </c>
      <c r="O10" s="2" t="s">
        <v>54</v>
      </c>
      <c r="P10" s="1" t="s">
        <v>40</v>
      </c>
      <c r="Q10" s="2" t="s">
        <v>45</v>
      </c>
      <c r="R10" s="1">
        <v>24</v>
      </c>
      <c r="S10" s="2" t="s">
        <v>28</v>
      </c>
      <c r="T10" s="2">
        <v>1</v>
      </c>
    </row>
    <row r="11" spans="1:20" x14ac:dyDescent="0.25">
      <c r="A11" s="1">
        <v>3009</v>
      </c>
      <c r="B11" s="1">
        <v>3006</v>
      </c>
      <c r="C11" s="2" t="s">
        <v>20</v>
      </c>
      <c r="D11" s="2" t="s">
        <v>29</v>
      </c>
      <c r="E11" s="2" t="s">
        <v>49</v>
      </c>
      <c r="F11" s="2" t="s">
        <v>32</v>
      </c>
      <c r="G11" s="2" t="s">
        <v>56</v>
      </c>
      <c r="H11" s="2" t="s">
        <v>24</v>
      </c>
      <c r="I11" s="1">
        <v>7</v>
      </c>
      <c r="J11" s="3">
        <v>46050</v>
      </c>
      <c r="K11" s="3">
        <v>46052</v>
      </c>
      <c r="L11" s="2" t="s">
        <v>50</v>
      </c>
      <c r="M11" s="2" t="s">
        <v>26</v>
      </c>
      <c r="N11" s="2" t="s">
        <v>40</v>
      </c>
      <c r="O11" s="2" t="s">
        <v>49</v>
      </c>
      <c r="P11" s="1" t="s">
        <v>40</v>
      </c>
      <c r="Q11" s="2" t="s">
        <v>57</v>
      </c>
      <c r="R11" s="1">
        <v>28</v>
      </c>
      <c r="S11" s="2" t="s">
        <v>28</v>
      </c>
      <c r="T11" s="2">
        <v>1</v>
      </c>
    </row>
    <row r="12" spans="1:20" x14ac:dyDescent="0.25">
      <c r="A12" s="1">
        <v>3010</v>
      </c>
      <c r="B12" s="1"/>
      <c r="C12" s="2" t="s">
        <v>46</v>
      </c>
      <c r="D12" s="2" t="s">
        <v>46</v>
      </c>
      <c r="E12" s="2" t="s">
        <v>49</v>
      </c>
      <c r="F12" s="2" t="s">
        <v>58</v>
      </c>
      <c r="G12" s="2" t="s">
        <v>48</v>
      </c>
      <c r="H12" s="2" t="s">
        <v>24</v>
      </c>
      <c r="I12" s="1">
        <v>2</v>
      </c>
      <c r="J12" s="3">
        <v>46050</v>
      </c>
      <c r="K12" s="3">
        <v>46051</v>
      </c>
      <c r="L12" s="2" t="s">
        <v>50</v>
      </c>
      <c r="M12" s="2" t="s">
        <v>26</v>
      </c>
      <c r="N12" s="2" t="s">
        <v>49</v>
      </c>
      <c r="O12" s="2" t="s">
        <v>49</v>
      </c>
      <c r="P12" s="1">
        <v>3010</v>
      </c>
      <c r="Q12" s="2" t="s">
        <v>57</v>
      </c>
      <c r="R12" s="1">
        <v>28</v>
      </c>
      <c r="S12" s="2" t="s">
        <v>28</v>
      </c>
      <c r="T12" s="2">
        <v>1</v>
      </c>
    </row>
    <row r="13" spans="1:20" x14ac:dyDescent="0.25">
      <c r="A13" s="1">
        <v>3011</v>
      </c>
      <c r="B13" s="1">
        <v>3009</v>
      </c>
      <c r="C13" s="2" t="s">
        <v>36</v>
      </c>
      <c r="D13" s="2" t="s">
        <v>20</v>
      </c>
      <c r="E13" s="2" t="s">
        <v>37</v>
      </c>
      <c r="F13" s="2" t="s">
        <v>58</v>
      </c>
      <c r="G13" s="2" t="s">
        <v>59</v>
      </c>
      <c r="H13" s="2" t="s">
        <v>55</v>
      </c>
      <c r="I13" s="1">
        <v>4</v>
      </c>
      <c r="J13" s="3">
        <v>46044</v>
      </c>
      <c r="K13" s="3">
        <v>46045</v>
      </c>
      <c r="L13" s="2" t="s">
        <v>39</v>
      </c>
      <c r="M13" s="2" t="s">
        <v>26</v>
      </c>
      <c r="N13" s="2" t="s">
        <v>40</v>
      </c>
      <c r="O13" s="2" t="s">
        <v>37</v>
      </c>
      <c r="P13" s="1" t="s">
        <v>40</v>
      </c>
      <c r="Q13" s="2" t="s">
        <v>53</v>
      </c>
      <c r="R13" s="1">
        <v>22</v>
      </c>
      <c r="S13" s="2" t="s">
        <v>28</v>
      </c>
      <c r="T13" s="2">
        <v>1</v>
      </c>
    </row>
    <row r="14" spans="1:20" x14ac:dyDescent="0.25">
      <c r="A14" s="1">
        <v>3012</v>
      </c>
      <c r="B14" s="1">
        <v>3009</v>
      </c>
      <c r="C14" s="2" t="s">
        <v>19</v>
      </c>
      <c r="D14" s="2" t="s">
        <v>29</v>
      </c>
      <c r="E14" s="2" t="s">
        <v>54</v>
      </c>
      <c r="F14" s="2" t="s">
        <v>22</v>
      </c>
      <c r="G14" s="2" t="s">
        <v>52</v>
      </c>
      <c r="H14" s="2" t="s">
        <v>38</v>
      </c>
      <c r="I14" s="1">
        <v>29</v>
      </c>
      <c r="J14" s="3">
        <v>46048</v>
      </c>
      <c r="K14" s="3">
        <v>46050</v>
      </c>
      <c r="L14" s="2" t="s">
        <v>50</v>
      </c>
      <c r="M14" s="2" t="s">
        <v>26</v>
      </c>
      <c r="N14" s="2" t="s">
        <v>40</v>
      </c>
      <c r="O14" s="2" t="s">
        <v>54</v>
      </c>
      <c r="P14" s="1" t="s">
        <v>40</v>
      </c>
      <c r="Q14" s="2" t="s">
        <v>60</v>
      </c>
      <c r="R14" s="1">
        <v>26</v>
      </c>
      <c r="S14" s="2" t="s">
        <v>28</v>
      </c>
      <c r="T14" s="2">
        <v>1</v>
      </c>
    </row>
    <row r="15" spans="1:20" x14ac:dyDescent="0.25">
      <c r="A15" s="1">
        <v>3013</v>
      </c>
      <c r="B15" s="1">
        <v>3011</v>
      </c>
      <c r="C15" s="2" t="s">
        <v>46</v>
      </c>
      <c r="D15" s="2" t="s">
        <v>29</v>
      </c>
      <c r="E15" s="2" t="s">
        <v>37</v>
      </c>
      <c r="F15" s="2" t="s">
        <v>47</v>
      </c>
      <c r="G15" s="2" t="s">
        <v>61</v>
      </c>
      <c r="H15" s="2" t="s">
        <v>62</v>
      </c>
      <c r="I15" s="1">
        <v>21</v>
      </c>
      <c r="J15" s="3">
        <v>46044</v>
      </c>
      <c r="K15" s="3">
        <v>46046</v>
      </c>
      <c r="L15" s="2" t="s">
        <v>39</v>
      </c>
      <c r="M15" s="2" t="s">
        <v>26</v>
      </c>
      <c r="N15" s="2" t="s">
        <v>40</v>
      </c>
      <c r="O15" s="2" t="s">
        <v>37</v>
      </c>
      <c r="P15" s="1" t="s">
        <v>40</v>
      </c>
      <c r="Q15" s="2" t="s">
        <v>53</v>
      </c>
      <c r="R15" s="1">
        <v>22</v>
      </c>
      <c r="S15" s="2" t="s">
        <v>28</v>
      </c>
      <c r="T15" s="2">
        <v>1</v>
      </c>
    </row>
    <row r="16" spans="1:20" x14ac:dyDescent="0.25">
      <c r="A16" s="1">
        <v>3014</v>
      </c>
      <c r="B16" s="1">
        <v>3013</v>
      </c>
      <c r="C16" s="2" t="s">
        <v>36</v>
      </c>
      <c r="D16" s="2" t="s">
        <v>19</v>
      </c>
      <c r="E16" s="2" t="s">
        <v>49</v>
      </c>
      <c r="F16" s="2" t="s">
        <v>32</v>
      </c>
      <c r="G16" s="2" t="s">
        <v>63</v>
      </c>
      <c r="H16" s="2" t="s">
        <v>38</v>
      </c>
      <c r="I16" s="1">
        <v>28</v>
      </c>
      <c r="J16" s="3">
        <v>46050</v>
      </c>
      <c r="K16" s="3">
        <v>46052</v>
      </c>
      <c r="L16" s="2" t="s">
        <v>50</v>
      </c>
      <c r="M16" s="2" t="s">
        <v>26</v>
      </c>
      <c r="N16" s="2" t="s">
        <v>40</v>
      </c>
      <c r="O16" s="2" t="s">
        <v>49</v>
      </c>
      <c r="P16" s="1" t="s">
        <v>40</v>
      </c>
      <c r="Q16" s="2" t="s">
        <v>57</v>
      </c>
      <c r="R16" s="1">
        <v>28</v>
      </c>
      <c r="S16" s="2" t="s">
        <v>28</v>
      </c>
      <c r="T16" s="2">
        <v>1</v>
      </c>
    </row>
    <row r="17" spans="1:20" x14ac:dyDescent="0.25">
      <c r="A17" s="1">
        <v>3015</v>
      </c>
      <c r="B17" s="1"/>
      <c r="C17" s="2" t="s">
        <v>20</v>
      </c>
      <c r="D17" s="2" t="s">
        <v>46</v>
      </c>
      <c r="E17" s="2" t="s">
        <v>42</v>
      </c>
      <c r="F17" s="2" t="s">
        <v>22</v>
      </c>
      <c r="G17" s="2" t="s">
        <v>43</v>
      </c>
      <c r="H17" s="2" t="s">
        <v>55</v>
      </c>
      <c r="I17" s="1">
        <v>7</v>
      </c>
      <c r="J17" s="3">
        <v>46050</v>
      </c>
      <c r="K17" s="3">
        <v>46051</v>
      </c>
      <c r="L17" s="2" t="s">
        <v>50</v>
      </c>
      <c r="M17" s="2" t="s">
        <v>26</v>
      </c>
      <c r="N17" s="2" t="s">
        <v>42</v>
      </c>
      <c r="O17" s="2" t="s">
        <v>42</v>
      </c>
      <c r="P17" s="1">
        <v>3015</v>
      </c>
      <c r="Q17" s="2" t="s">
        <v>57</v>
      </c>
      <c r="R17" s="1">
        <v>28</v>
      </c>
      <c r="S17" s="2" t="s">
        <v>28</v>
      </c>
      <c r="T17" s="2">
        <v>1</v>
      </c>
    </row>
    <row r="18" spans="1:20" x14ac:dyDescent="0.25">
      <c r="A18" s="1">
        <v>3016</v>
      </c>
      <c r="B18" s="1">
        <v>3015</v>
      </c>
      <c r="C18" s="2" t="s">
        <v>36</v>
      </c>
      <c r="D18" s="2" t="s">
        <v>36</v>
      </c>
      <c r="E18" s="2" t="s">
        <v>21</v>
      </c>
      <c r="F18" s="2" t="s">
        <v>22</v>
      </c>
      <c r="G18" s="2" t="s">
        <v>63</v>
      </c>
      <c r="H18" s="2" t="s">
        <v>38</v>
      </c>
      <c r="I18" s="1">
        <v>27</v>
      </c>
      <c r="J18" s="3">
        <v>46043</v>
      </c>
      <c r="K18" s="3">
        <v>46043</v>
      </c>
      <c r="L18" s="2" t="s">
        <v>39</v>
      </c>
      <c r="M18" s="2" t="s">
        <v>26</v>
      </c>
      <c r="N18" s="2" t="s">
        <v>42</v>
      </c>
      <c r="O18" s="2" t="s">
        <v>21</v>
      </c>
      <c r="P18" s="1">
        <v>3016</v>
      </c>
      <c r="Q18" s="2" t="s">
        <v>57</v>
      </c>
      <c r="R18" s="1">
        <v>21</v>
      </c>
      <c r="S18" s="2" t="s">
        <v>28</v>
      </c>
      <c r="T18" s="2">
        <v>1</v>
      </c>
    </row>
    <row r="19" spans="1:20" x14ac:dyDescent="0.25">
      <c r="A19" s="1">
        <v>3017</v>
      </c>
      <c r="B19" s="1">
        <v>3015</v>
      </c>
      <c r="C19" s="2" t="s">
        <v>20</v>
      </c>
      <c r="D19" s="2" t="s">
        <v>46</v>
      </c>
      <c r="E19" s="2" t="s">
        <v>37</v>
      </c>
      <c r="F19" s="2" t="s">
        <v>58</v>
      </c>
      <c r="G19" s="2" t="s">
        <v>52</v>
      </c>
      <c r="H19" s="2" t="s">
        <v>24</v>
      </c>
      <c r="I19" s="1">
        <v>4</v>
      </c>
      <c r="J19" s="3">
        <v>46048</v>
      </c>
      <c r="K19" s="3">
        <v>46049</v>
      </c>
      <c r="L19" s="2" t="s">
        <v>44</v>
      </c>
      <c r="M19" s="2" t="s">
        <v>26</v>
      </c>
      <c r="N19" s="2" t="s">
        <v>42</v>
      </c>
      <c r="O19" s="2" t="s">
        <v>37</v>
      </c>
      <c r="P19" s="1">
        <v>3017</v>
      </c>
      <c r="Q19" s="2" t="s">
        <v>60</v>
      </c>
      <c r="R19" s="1">
        <v>26</v>
      </c>
      <c r="S19" s="2" t="s">
        <v>28</v>
      </c>
      <c r="T19" s="2">
        <v>1</v>
      </c>
    </row>
    <row r="20" spans="1:20" x14ac:dyDescent="0.25">
      <c r="A20" s="1">
        <v>3018</v>
      </c>
      <c r="B20" s="1">
        <v>3017</v>
      </c>
      <c r="C20" s="2" t="s">
        <v>20</v>
      </c>
      <c r="D20" s="2" t="s">
        <v>46</v>
      </c>
      <c r="E20" s="2" t="s">
        <v>49</v>
      </c>
      <c r="F20" s="2" t="s">
        <v>22</v>
      </c>
      <c r="G20" s="2" t="s">
        <v>52</v>
      </c>
      <c r="H20" s="2" t="s">
        <v>62</v>
      </c>
      <c r="I20" s="1">
        <v>21</v>
      </c>
      <c r="J20" s="3">
        <v>46049</v>
      </c>
      <c r="K20" s="3">
        <v>46049</v>
      </c>
      <c r="L20" s="2" t="s">
        <v>39</v>
      </c>
      <c r="M20" s="2" t="s">
        <v>26</v>
      </c>
      <c r="N20" s="2" t="s">
        <v>42</v>
      </c>
      <c r="O20" s="2" t="s">
        <v>49</v>
      </c>
      <c r="P20" s="1">
        <v>3018</v>
      </c>
      <c r="Q20" s="2" t="s">
        <v>51</v>
      </c>
      <c r="R20" s="1">
        <v>27</v>
      </c>
      <c r="S20" s="2" t="s">
        <v>28</v>
      </c>
      <c r="T20" s="2">
        <v>1</v>
      </c>
    </row>
    <row r="21" spans="1:20" x14ac:dyDescent="0.25">
      <c r="A21" s="1">
        <v>3019</v>
      </c>
      <c r="B21" s="1">
        <v>3018</v>
      </c>
      <c r="C21" s="2" t="s">
        <v>46</v>
      </c>
      <c r="D21" s="2" t="s">
        <v>30</v>
      </c>
      <c r="E21" s="2" t="s">
        <v>54</v>
      </c>
      <c r="F21" s="2" t="s">
        <v>22</v>
      </c>
      <c r="G21" s="2" t="s">
        <v>54</v>
      </c>
      <c r="H21" s="2" t="s">
        <v>55</v>
      </c>
      <c r="I21" s="1">
        <v>10</v>
      </c>
      <c r="J21" s="3">
        <v>46043</v>
      </c>
      <c r="K21" s="3">
        <v>46044</v>
      </c>
      <c r="L21" s="2" t="s">
        <v>44</v>
      </c>
      <c r="M21" s="2" t="s">
        <v>26</v>
      </c>
      <c r="N21" s="2" t="s">
        <v>42</v>
      </c>
      <c r="O21" s="2" t="s">
        <v>54</v>
      </c>
      <c r="P21" s="1">
        <v>3019</v>
      </c>
      <c r="Q21" s="2" t="s">
        <v>57</v>
      </c>
      <c r="R21" s="1">
        <v>21</v>
      </c>
      <c r="S21" s="2" t="s">
        <v>28</v>
      </c>
      <c r="T21" s="2">
        <v>1</v>
      </c>
    </row>
    <row r="22" spans="1:20" x14ac:dyDescent="0.25">
      <c r="A22" s="1">
        <v>3020</v>
      </c>
      <c r="B22" s="1"/>
      <c r="C22" s="2" t="s">
        <v>30</v>
      </c>
      <c r="D22" s="2" t="s">
        <v>30</v>
      </c>
      <c r="E22" s="2" t="s">
        <v>37</v>
      </c>
      <c r="F22" s="2" t="s">
        <v>22</v>
      </c>
      <c r="G22" s="2" t="s">
        <v>63</v>
      </c>
      <c r="H22" s="2" t="s">
        <v>24</v>
      </c>
      <c r="I22" s="1">
        <v>4</v>
      </c>
      <c r="J22" s="3">
        <v>46048</v>
      </c>
      <c r="K22" s="3">
        <v>46048</v>
      </c>
      <c r="L22" s="2" t="s">
        <v>50</v>
      </c>
      <c r="M22" s="2" t="s">
        <v>26</v>
      </c>
      <c r="N22" s="2" t="s">
        <v>37</v>
      </c>
      <c r="O22" s="2" t="s">
        <v>37</v>
      </c>
      <c r="P22" s="1">
        <v>3020</v>
      </c>
      <c r="Q22" s="2" t="s">
        <v>60</v>
      </c>
      <c r="R22" s="1">
        <v>26</v>
      </c>
      <c r="S22" s="2" t="s">
        <v>28</v>
      </c>
      <c r="T22" s="2">
        <v>1</v>
      </c>
    </row>
    <row r="23" spans="1:20" x14ac:dyDescent="0.25">
      <c r="A23" s="1">
        <v>3021</v>
      </c>
      <c r="B23" s="1">
        <v>3019</v>
      </c>
      <c r="C23" s="2" t="s">
        <v>36</v>
      </c>
      <c r="D23" s="2" t="s">
        <v>30</v>
      </c>
      <c r="E23" s="2" t="s">
        <v>31</v>
      </c>
      <c r="F23" s="2" t="s">
        <v>32</v>
      </c>
      <c r="G23" s="2" t="s">
        <v>54</v>
      </c>
      <c r="H23" s="2" t="s">
        <v>62</v>
      </c>
      <c r="I23" s="1">
        <v>22</v>
      </c>
      <c r="J23" s="3">
        <v>46048</v>
      </c>
      <c r="K23" s="3">
        <v>46048</v>
      </c>
      <c r="L23" s="2" t="s">
        <v>44</v>
      </c>
      <c r="M23" s="2" t="s">
        <v>26</v>
      </c>
      <c r="N23" s="2" t="s">
        <v>42</v>
      </c>
      <c r="O23" s="2" t="s">
        <v>31</v>
      </c>
      <c r="P23" s="1">
        <v>3021</v>
      </c>
      <c r="Q23" s="2" t="s">
        <v>60</v>
      </c>
      <c r="R23" s="1">
        <v>26</v>
      </c>
      <c r="S23" s="2" t="s">
        <v>28</v>
      </c>
      <c r="T23" s="2">
        <v>1</v>
      </c>
    </row>
    <row r="24" spans="1:20" x14ac:dyDescent="0.25">
      <c r="A24" s="1">
        <v>3022</v>
      </c>
      <c r="B24" s="1">
        <v>3019</v>
      </c>
      <c r="C24" s="2" t="s">
        <v>29</v>
      </c>
      <c r="D24" s="2" t="s">
        <v>46</v>
      </c>
      <c r="E24" s="2" t="s">
        <v>49</v>
      </c>
      <c r="F24" s="2" t="s">
        <v>32</v>
      </c>
      <c r="G24" s="2" t="s">
        <v>48</v>
      </c>
      <c r="H24" s="2" t="s">
        <v>34</v>
      </c>
      <c r="I24" s="1">
        <v>10</v>
      </c>
      <c r="J24" s="3">
        <v>46043</v>
      </c>
      <c r="K24" s="3">
        <v>46045</v>
      </c>
      <c r="L24" s="2" t="s">
        <v>44</v>
      </c>
      <c r="M24" s="2" t="s">
        <v>26</v>
      </c>
      <c r="N24" s="2" t="s">
        <v>42</v>
      </c>
      <c r="O24" s="2" t="s">
        <v>49</v>
      </c>
      <c r="P24" s="1">
        <v>3022</v>
      </c>
      <c r="Q24" s="2" t="s">
        <v>57</v>
      </c>
      <c r="R24" s="1">
        <v>21</v>
      </c>
      <c r="S24" s="2" t="s">
        <v>28</v>
      </c>
      <c r="T24" s="2">
        <v>1</v>
      </c>
    </row>
    <row r="25" spans="1:20" x14ac:dyDescent="0.25">
      <c r="A25" s="1">
        <v>3023</v>
      </c>
      <c r="B25" s="1">
        <v>3021</v>
      </c>
      <c r="C25" s="2" t="s">
        <v>46</v>
      </c>
      <c r="D25" s="2" t="s">
        <v>46</v>
      </c>
      <c r="E25" s="2" t="s">
        <v>42</v>
      </c>
      <c r="F25" s="2" t="s">
        <v>58</v>
      </c>
      <c r="G25" s="2" t="s">
        <v>54</v>
      </c>
      <c r="H25" s="2" t="s">
        <v>34</v>
      </c>
      <c r="I25" s="1">
        <v>10</v>
      </c>
      <c r="J25" s="3">
        <v>46047</v>
      </c>
      <c r="K25" s="3">
        <v>46049</v>
      </c>
      <c r="L25" s="2" t="s">
        <v>50</v>
      </c>
      <c r="M25" s="2" t="s">
        <v>26</v>
      </c>
      <c r="N25" s="2" t="s">
        <v>42</v>
      </c>
      <c r="O25" s="2" t="s">
        <v>42</v>
      </c>
      <c r="P25" s="1">
        <v>3023</v>
      </c>
      <c r="Q25" s="2" t="s">
        <v>27</v>
      </c>
      <c r="R25" s="1">
        <v>25</v>
      </c>
      <c r="S25" s="2" t="s">
        <v>28</v>
      </c>
      <c r="T25" s="2">
        <v>1</v>
      </c>
    </row>
    <row r="26" spans="1:20" x14ac:dyDescent="0.25">
      <c r="A26" s="1">
        <v>3024</v>
      </c>
      <c r="B26" s="1">
        <v>3022</v>
      </c>
      <c r="C26" s="2" t="s">
        <v>36</v>
      </c>
      <c r="D26" s="2" t="s">
        <v>36</v>
      </c>
      <c r="E26" s="2" t="s">
        <v>49</v>
      </c>
      <c r="F26" s="2" t="s">
        <v>47</v>
      </c>
      <c r="G26" s="2" t="s">
        <v>41</v>
      </c>
      <c r="H26" s="2" t="s">
        <v>34</v>
      </c>
      <c r="I26" s="1">
        <v>14</v>
      </c>
      <c r="J26" s="3">
        <v>46047</v>
      </c>
      <c r="K26" s="3">
        <v>46049</v>
      </c>
      <c r="L26" s="2" t="s">
        <v>44</v>
      </c>
      <c r="M26" s="2" t="s">
        <v>26</v>
      </c>
      <c r="N26" s="2" t="s">
        <v>42</v>
      </c>
      <c r="O26" s="2" t="s">
        <v>49</v>
      </c>
      <c r="P26" s="1">
        <v>3024</v>
      </c>
      <c r="Q26" s="2" t="s">
        <v>27</v>
      </c>
      <c r="R26" s="1">
        <v>25</v>
      </c>
      <c r="S26" s="2" t="s">
        <v>28</v>
      </c>
      <c r="T26" s="2">
        <v>1</v>
      </c>
    </row>
    <row r="27" spans="1:20" x14ac:dyDescent="0.25">
      <c r="A27" s="1">
        <v>3025</v>
      </c>
      <c r="B27" s="1"/>
      <c r="C27" s="2" t="s">
        <v>19</v>
      </c>
      <c r="D27" s="2" t="s">
        <v>29</v>
      </c>
      <c r="E27" s="2" t="s">
        <v>42</v>
      </c>
      <c r="F27" s="2" t="s">
        <v>32</v>
      </c>
      <c r="G27" s="2" t="s">
        <v>37</v>
      </c>
      <c r="H27" s="2" t="s">
        <v>24</v>
      </c>
      <c r="I27" s="1">
        <v>2</v>
      </c>
      <c r="J27" s="3">
        <v>46046</v>
      </c>
      <c r="K27" s="3">
        <v>46048</v>
      </c>
      <c r="L27" s="2" t="s">
        <v>39</v>
      </c>
      <c r="M27" s="2" t="s">
        <v>26</v>
      </c>
      <c r="N27" s="2" t="s">
        <v>42</v>
      </c>
      <c r="O27" s="2" t="s">
        <v>42</v>
      </c>
      <c r="P27" s="1">
        <v>3025</v>
      </c>
      <c r="Q27" s="2" t="s">
        <v>45</v>
      </c>
      <c r="R27" s="1">
        <v>24</v>
      </c>
      <c r="S27" s="2" t="s">
        <v>28</v>
      </c>
      <c r="T27" s="2">
        <v>1</v>
      </c>
    </row>
    <row r="28" spans="1:20" x14ac:dyDescent="0.25">
      <c r="A28" s="1">
        <v>3026</v>
      </c>
      <c r="B28" s="1">
        <v>3024</v>
      </c>
      <c r="C28" s="2" t="s">
        <v>36</v>
      </c>
      <c r="D28" s="2" t="s">
        <v>30</v>
      </c>
      <c r="E28" s="2" t="s">
        <v>64</v>
      </c>
      <c r="F28" s="2" t="s">
        <v>32</v>
      </c>
      <c r="G28" s="2" t="s">
        <v>23</v>
      </c>
      <c r="H28" s="2" t="s">
        <v>62</v>
      </c>
      <c r="I28" s="1">
        <v>17</v>
      </c>
      <c r="J28" s="3">
        <v>46048</v>
      </c>
      <c r="K28" s="3">
        <v>46050</v>
      </c>
      <c r="L28" s="2" t="s">
        <v>39</v>
      </c>
      <c r="M28" s="2" t="s">
        <v>26</v>
      </c>
      <c r="N28" s="2" t="s">
        <v>42</v>
      </c>
      <c r="O28" s="2" t="s">
        <v>64</v>
      </c>
      <c r="P28" s="1">
        <v>3026</v>
      </c>
      <c r="Q28" s="2" t="s">
        <v>60</v>
      </c>
      <c r="R28" s="1">
        <v>26</v>
      </c>
      <c r="S28" s="2" t="s">
        <v>28</v>
      </c>
      <c r="T28" s="2">
        <v>1</v>
      </c>
    </row>
    <row r="29" spans="1:20" x14ac:dyDescent="0.25">
      <c r="A29" s="1">
        <v>3027</v>
      </c>
      <c r="B29" s="1">
        <v>3025</v>
      </c>
      <c r="C29" s="2" t="s">
        <v>20</v>
      </c>
      <c r="D29" s="2" t="s">
        <v>30</v>
      </c>
      <c r="E29" s="2" t="s">
        <v>54</v>
      </c>
      <c r="F29" s="2" t="s">
        <v>32</v>
      </c>
      <c r="G29" s="2" t="s">
        <v>59</v>
      </c>
      <c r="H29" s="2" t="s">
        <v>24</v>
      </c>
      <c r="I29" s="1">
        <v>5</v>
      </c>
      <c r="J29" s="3">
        <v>46048</v>
      </c>
      <c r="K29" s="3">
        <v>46048</v>
      </c>
      <c r="L29" s="2" t="s">
        <v>44</v>
      </c>
      <c r="M29" s="2" t="s">
        <v>26</v>
      </c>
      <c r="N29" s="2" t="s">
        <v>42</v>
      </c>
      <c r="O29" s="2" t="s">
        <v>54</v>
      </c>
      <c r="P29" s="1">
        <v>3027</v>
      </c>
      <c r="Q29" s="2" t="s">
        <v>60</v>
      </c>
      <c r="R29" s="1">
        <v>26</v>
      </c>
      <c r="S29" s="2" t="s">
        <v>28</v>
      </c>
      <c r="T29" s="2">
        <v>1</v>
      </c>
    </row>
    <row r="30" spans="1:20" x14ac:dyDescent="0.25">
      <c r="A30" s="1">
        <v>3028</v>
      </c>
      <c r="B30" s="1">
        <v>3025</v>
      </c>
      <c r="C30" s="2" t="s">
        <v>29</v>
      </c>
      <c r="D30" s="2" t="s">
        <v>36</v>
      </c>
      <c r="E30" s="2" t="s">
        <v>54</v>
      </c>
      <c r="F30" s="2" t="s">
        <v>22</v>
      </c>
      <c r="G30" s="2" t="s">
        <v>43</v>
      </c>
      <c r="H30" s="2" t="s">
        <v>55</v>
      </c>
      <c r="I30" s="1">
        <v>6</v>
      </c>
      <c r="J30" s="3">
        <v>46044</v>
      </c>
      <c r="K30" s="3">
        <v>46046</v>
      </c>
      <c r="L30" s="2" t="s">
        <v>25</v>
      </c>
      <c r="M30" s="2" t="s">
        <v>26</v>
      </c>
      <c r="N30" s="2" t="s">
        <v>42</v>
      </c>
      <c r="O30" s="2" t="s">
        <v>54</v>
      </c>
      <c r="P30" s="1">
        <v>3028</v>
      </c>
      <c r="Q30" s="2" t="s">
        <v>53</v>
      </c>
      <c r="R30" s="1">
        <v>22</v>
      </c>
      <c r="S30" s="2" t="s">
        <v>28</v>
      </c>
      <c r="T30" s="2">
        <v>1</v>
      </c>
    </row>
    <row r="31" spans="1:20" x14ac:dyDescent="0.25">
      <c r="A31" s="1">
        <v>3029</v>
      </c>
      <c r="B31" s="1">
        <v>3026</v>
      </c>
      <c r="C31" s="2" t="s">
        <v>46</v>
      </c>
      <c r="D31" s="2" t="s">
        <v>30</v>
      </c>
      <c r="E31" s="2" t="s">
        <v>23</v>
      </c>
      <c r="F31" s="2" t="s">
        <v>32</v>
      </c>
      <c r="G31" s="2" t="s">
        <v>43</v>
      </c>
      <c r="H31" s="2" t="s">
        <v>38</v>
      </c>
      <c r="I31" s="1">
        <v>25</v>
      </c>
      <c r="J31" s="3">
        <v>46046</v>
      </c>
      <c r="K31" s="3">
        <v>46046</v>
      </c>
      <c r="L31" s="2" t="s">
        <v>50</v>
      </c>
      <c r="M31" s="2" t="s">
        <v>26</v>
      </c>
      <c r="N31" s="2" t="s">
        <v>42</v>
      </c>
      <c r="O31" s="2" t="s">
        <v>23</v>
      </c>
      <c r="P31" s="1">
        <v>3029</v>
      </c>
      <c r="Q31" s="2" t="s">
        <v>45</v>
      </c>
      <c r="R31" s="1">
        <v>24</v>
      </c>
      <c r="S31" s="2" t="s">
        <v>28</v>
      </c>
      <c r="T31" s="2">
        <v>1</v>
      </c>
    </row>
    <row r="32" spans="1:20" x14ac:dyDescent="0.25">
      <c r="A32" s="1">
        <v>3030</v>
      </c>
      <c r="B32" s="1"/>
      <c r="C32" s="2" t="s">
        <v>20</v>
      </c>
      <c r="D32" s="2" t="s">
        <v>29</v>
      </c>
      <c r="E32" s="2" t="s">
        <v>42</v>
      </c>
      <c r="F32" s="2" t="s">
        <v>47</v>
      </c>
      <c r="G32" s="2" t="s">
        <v>54</v>
      </c>
      <c r="H32" s="2" t="s">
        <v>24</v>
      </c>
      <c r="I32" s="1">
        <v>5</v>
      </c>
      <c r="J32" s="3">
        <v>46046</v>
      </c>
      <c r="K32" s="3">
        <v>46047</v>
      </c>
      <c r="L32" s="2" t="s">
        <v>50</v>
      </c>
      <c r="M32" s="2" t="s">
        <v>26</v>
      </c>
      <c r="N32" s="2" t="s">
        <v>42</v>
      </c>
      <c r="O32" s="2" t="s">
        <v>42</v>
      </c>
      <c r="P32" s="1">
        <v>3030</v>
      </c>
      <c r="Q32" s="2" t="s">
        <v>45</v>
      </c>
      <c r="R32" s="1">
        <v>24</v>
      </c>
      <c r="S32" s="2" t="s">
        <v>28</v>
      </c>
      <c r="T32" s="2">
        <v>1</v>
      </c>
    </row>
    <row r="33" spans="1:20" x14ac:dyDescent="0.25">
      <c r="A33" s="1">
        <v>3031</v>
      </c>
      <c r="B33" s="1">
        <v>3029</v>
      </c>
      <c r="C33" s="2" t="s">
        <v>36</v>
      </c>
      <c r="D33" s="2" t="s">
        <v>29</v>
      </c>
      <c r="E33" s="2" t="s">
        <v>49</v>
      </c>
      <c r="F33" s="2" t="s">
        <v>58</v>
      </c>
      <c r="G33" s="2" t="s">
        <v>33</v>
      </c>
      <c r="H33" s="2" t="s">
        <v>34</v>
      </c>
      <c r="I33" s="1">
        <v>13</v>
      </c>
      <c r="J33" s="3">
        <v>46046</v>
      </c>
      <c r="K33" s="3">
        <v>46047</v>
      </c>
      <c r="L33" s="2" t="s">
        <v>50</v>
      </c>
      <c r="M33" s="2" t="s">
        <v>26</v>
      </c>
      <c r="N33" s="2" t="s">
        <v>42</v>
      </c>
      <c r="O33" s="2" t="s">
        <v>49</v>
      </c>
      <c r="P33" s="1">
        <v>3031</v>
      </c>
      <c r="Q33" s="2" t="s">
        <v>45</v>
      </c>
      <c r="R33" s="1">
        <v>24</v>
      </c>
      <c r="S33" s="2" t="s">
        <v>28</v>
      </c>
      <c r="T33" s="2">
        <v>1</v>
      </c>
    </row>
    <row r="34" spans="1:20" x14ac:dyDescent="0.25">
      <c r="A34" s="1">
        <v>3032</v>
      </c>
      <c r="B34" s="1">
        <v>3030</v>
      </c>
      <c r="C34" s="2" t="s">
        <v>19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55</v>
      </c>
      <c r="I34" s="1">
        <v>7</v>
      </c>
      <c r="J34" s="3">
        <v>46044</v>
      </c>
      <c r="K34" s="3">
        <v>46045</v>
      </c>
      <c r="L34" s="2" t="s">
        <v>39</v>
      </c>
      <c r="M34" s="2" t="s">
        <v>26</v>
      </c>
      <c r="N34" s="2" t="s">
        <v>42</v>
      </c>
      <c r="O34" s="2" t="s">
        <v>31</v>
      </c>
      <c r="P34" s="1">
        <v>3032</v>
      </c>
      <c r="Q34" s="2" t="s">
        <v>53</v>
      </c>
      <c r="R34" s="1">
        <v>22</v>
      </c>
      <c r="S34" s="2" t="s">
        <v>28</v>
      </c>
      <c r="T34" s="2">
        <v>1</v>
      </c>
    </row>
    <row r="35" spans="1:20" x14ac:dyDescent="0.25">
      <c r="A35" s="1">
        <v>3033</v>
      </c>
      <c r="B35" s="1">
        <v>3032</v>
      </c>
      <c r="C35" s="2" t="s">
        <v>29</v>
      </c>
      <c r="D35" s="2" t="s">
        <v>19</v>
      </c>
      <c r="E35" s="2" t="s">
        <v>37</v>
      </c>
      <c r="F35" s="2" t="s">
        <v>32</v>
      </c>
      <c r="G35" s="2" t="s">
        <v>65</v>
      </c>
      <c r="H35" s="2" t="s">
        <v>24</v>
      </c>
      <c r="I35" s="1">
        <v>7</v>
      </c>
      <c r="J35" s="3">
        <v>46046</v>
      </c>
      <c r="K35" s="3">
        <v>46046</v>
      </c>
      <c r="L35" s="2" t="s">
        <v>50</v>
      </c>
      <c r="M35" s="2" t="s">
        <v>26</v>
      </c>
      <c r="N35" s="2" t="s">
        <v>42</v>
      </c>
      <c r="O35" s="2" t="s">
        <v>37</v>
      </c>
      <c r="P35" s="1">
        <v>3033</v>
      </c>
      <c r="Q35" s="2" t="s">
        <v>45</v>
      </c>
      <c r="R35" s="1">
        <v>24</v>
      </c>
      <c r="S35" s="2" t="s">
        <v>28</v>
      </c>
      <c r="T35" s="2">
        <v>1</v>
      </c>
    </row>
    <row r="36" spans="1:20" x14ac:dyDescent="0.25">
      <c r="A36" s="1">
        <v>3034</v>
      </c>
      <c r="B36" s="1">
        <v>3033</v>
      </c>
      <c r="C36" s="2" t="s">
        <v>46</v>
      </c>
      <c r="D36" s="2" t="s">
        <v>36</v>
      </c>
      <c r="E36" s="2" t="s">
        <v>31</v>
      </c>
      <c r="F36" s="2" t="s">
        <v>22</v>
      </c>
      <c r="G36" s="2" t="s">
        <v>56</v>
      </c>
      <c r="H36" s="2" t="s">
        <v>24</v>
      </c>
      <c r="I36" s="1">
        <v>7</v>
      </c>
      <c r="J36" s="3">
        <v>46044</v>
      </c>
      <c r="K36" s="3">
        <v>46046</v>
      </c>
      <c r="L36" s="2" t="s">
        <v>39</v>
      </c>
      <c r="M36" s="2" t="s">
        <v>26</v>
      </c>
      <c r="N36" s="2" t="s">
        <v>42</v>
      </c>
      <c r="O36" s="2" t="s">
        <v>31</v>
      </c>
      <c r="P36" s="1">
        <v>3034</v>
      </c>
      <c r="Q36" s="2" t="s">
        <v>53</v>
      </c>
      <c r="R36" s="1">
        <v>22</v>
      </c>
      <c r="S36" s="2" t="s">
        <v>28</v>
      </c>
      <c r="T36" s="2">
        <v>1</v>
      </c>
    </row>
    <row r="37" spans="1:20" x14ac:dyDescent="0.25">
      <c r="A37" s="1">
        <v>3035</v>
      </c>
      <c r="B37" s="1"/>
      <c r="C37" s="2" t="s">
        <v>46</v>
      </c>
      <c r="D37" s="2" t="s">
        <v>36</v>
      </c>
      <c r="E37" s="2" t="s">
        <v>49</v>
      </c>
      <c r="F37" s="2" t="s">
        <v>58</v>
      </c>
      <c r="G37" s="2" t="s">
        <v>54</v>
      </c>
      <c r="H37" s="2" t="s">
        <v>24</v>
      </c>
      <c r="I37" s="1">
        <v>3</v>
      </c>
      <c r="J37" s="3">
        <v>46047</v>
      </c>
      <c r="K37" s="3">
        <v>46049</v>
      </c>
      <c r="L37" s="2" t="s">
        <v>50</v>
      </c>
      <c r="M37" s="2" t="s">
        <v>26</v>
      </c>
      <c r="N37" s="2" t="s">
        <v>49</v>
      </c>
      <c r="O37" s="2" t="s">
        <v>49</v>
      </c>
      <c r="P37" s="1">
        <v>3035</v>
      </c>
      <c r="Q37" s="2" t="s">
        <v>27</v>
      </c>
      <c r="R37" s="1">
        <v>25</v>
      </c>
      <c r="S37" s="2" t="s">
        <v>28</v>
      </c>
      <c r="T37" s="2">
        <v>1</v>
      </c>
    </row>
    <row r="38" spans="1:20" x14ac:dyDescent="0.25">
      <c r="A38" s="1">
        <v>3036</v>
      </c>
      <c r="B38" s="1">
        <v>3033</v>
      </c>
      <c r="C38" s="2" t="s">
        <v>36</v>
      </c>
      <c r="D38" s="2" t="s">
        <v>20</v>
      </c>
      <c r="E38" s="2" t="s">
        <v>21</v>
      </c>
      <c r="F38" s="2" t="s">
        <v>58</v>
      </c>
      <c r="G38" s="2" t="s">
        <v>23</v>
      </c>
      <c r="H38" s="2" t="s">
        <v>55</v>
      </c>
      <c r="I38" s="1">
        <v>9</v>
      </c>
      <c r="J38" s="3">
        <v>46049</v>
      </c>
      <c r="K38" s="3">
        <v>46050</v>
      </c>
      <c r="L38" s="2" t="s">
        <v>25</v>
      </c>
      <c r="M38" s="2" t="s">
        <v>26</v>
      </c>
      <c r="N38" s="2" t="s">
        <v>42</v>
      </c>
      <c r="O38" s="2" t="s">
        <v>21</v>
      </c>
      <c r="P38" s="1">
        <v>3036</v>
      </c>
      <c r="Q38" s="2" t="s">
        <v>51</v>
      </c>
      <c r="R38" s="1">
        <v>27</v>
      </c>
      <c r="S38" s="2" t="s">
        <v>28</v>
      </c>
      <c r="T38" s="2">
        <v>1</v>
      </c>
    </row>
    <row r="39" spans="1:20" x14ac:dyDescent="0.25">
      <c r="A39" s="1">
        <v>3037</v>
      </c>
      <c r="B39" s="1">
        <v>3035</v>
      </c>
      <c r="C39" s="2" t="s">
        <v>19</v>
      </c>
      <c r="D39" s="2" t="s">
        <v>36</v>
      </c>
      <c r="E39" s="2" t="s">
        <v>23</v>
      </c>
      <c r="F39" s="2" t="s">
        <v>47</v>
      </c>
      <c r="G39" s="2" t="s">
        <v>41</v>
      </c>
      <c r="H39" s="2" t="s">
        <v>55</v>
      </c>
      <c r="I39" s="1">
        <v>9</v>
      </c>
      <c r="J39" s="3">
        <v>46046</v>
      </c>
      <c r="K39" s="3">
        <v>46048</v>
      </c>
      <c r="L39" s="2" t="s">
        <v>39</v>
      </c>
      <c r="M39" s="2" t="s">
        <v>26</v>
      </c>
      <c r="N39" s="2" t="s">
        <v>49</v>
      </c>
      <c r="O39" s="2" t="s">
        <v>23</v>
      </c>
      <c r="P39" s="1">
        <v>3037</v>
      </c>
      <c r="Q39" s="2" t="s">
        <v>45</v>
      </c>
      <c r="R39" s="1">
        <v>24</v>
      </c>
      <c r="S39" s="2" t="s">
        <v>28</v>
      </c>
      <c r="T39" s="2">
        <v>1</v>
      </c>
    </row>
    <row r="40" spans="1:20" x14ac:dyDescent="0.25">
      <c r="A40" s="1">
        <v>3038</v>
      </c>
      <c r="B40" s="1">
        <v>3036</v>
      </c>
      <c r="C40" s="2" t="s">
        <v>36</v>
      </c>
      <c r="D40" s="2" t="s">
        <v>20</v>
      </c>
      <c r="E40" s="2" t="s">
        <v>42</v>
      </c>
      <c r="F40" s="2" t="s">
        <v>47</v>
      </c>
      <c r="G40" s="2" t="s">
        <v>33</v>
      </c>
      <c r="H40" s="2" t="s">
        <v>62</v>
      </c>
      <c r="I40" s="1">
        <v>20</v>
      </c>
      <c r="J40" s="3">
        <v>46044</v>
      </c>
      <c r="K40" s="3">
        <v>46045</v>
      </c>
      <c r="L40" s="2" t="s">
        <v>25</v>
      </c>
      <c r="M40" s="2" t="s">
        <v>26</v>
      </c>
      <c r="N40" s="2" t="s">
        <v>42</v>
      </c>
      <c r="O40" s="2" t="s">
        <v>42</v>
      </c>
      <c r="P40" s="1">
        <v>3038</v>
      </c>
      <c r="Q40" s="2" t="s">
        <v>53</v>
      </c>
      <c r="R40" s="1">
        <v>22</v>
      </c>
      <c r="S40" s="2" t="s">
        <v>28</v>
      </c>
      <c r="T40" s="2">
        <v>1</v>
      </c>
    </row>
    <row r="41" spans="1:20" x14ac:dyDescent="0.25">
      <c r="A41" s="1">
        <v>3039</v>
      </c>
      <c r="B41" s="1">
        <v>3038</v>
      </c>
      <c r="C41" s="2" t="s">
        <v>30</v>
      </c>
      <c r="D41" s="2" t="s">
        <v>20</v>
      </c>
      <c r="E41" s="2" t="s">
        <v>37</v>
      </c>
      <c r="F41" s="2" t="s">
        <v>58</v>
      </c>
      <c r="G41" s="2" t="s">
        <v>23</v>
      </c>
      <c r="H41" s="2" t="s">
        <v>38</v>
      </c>
      <c r="I41" s="1">
        <v>26</v>
      </c>
      <c r="J41" s="3">
        <v>46046</v>
      </c>
      <c r="K41" s="3">
        <v>46047</v>
      </c>
      <c r="L41" s="2" t="s">
        <v>50</v>
      </c>
      <c r="M41" s="2" t="s">
        <v>26</v>
      </c>
      <c r="N41" s="2" t="s">
        <v>42</v>
      </c>
      <c r="O41" s="2" t="s">
        <v>37</v>
      </c>
      <c r="P41" s="1">
        <v>3039</v>
      </c>
      <c r="Q41" s="2" t="s">
        <v>45</v>
      </c>
      <c r="R41" s="1">
        <v>24</v>
      </c>
      <c r="S41" s="2" t="s">
        <v>28</v>
      </c>
      <c r="T41" s="2">
        <v>1</v>
      </c>
    </row>
    <row r="42" spans="1:20" x14ac:dyDescent="0.25">
      <c r="A42" s="1">
        <v>3040</v>
      </c>
      <c r="B42" s="1"/>
      <c r="C42" s="2" t="s">
        <v>30</v>
      </c>
      <c r="D42" s="2" t="s">
        <v>46</v>
      </c>
      <c r="E42" s="2" t="s">
        <v>31</v>
      </c>
      <c r="F42" s="2" t="s">
        <v>47</v>
      </c>
      <c r="G42" s="2" t="s">
        <v>61</v>
      </c>
      <c r="H42" s="2" t="s">
        <v>62</v>
      </c>
      <c r="I42" s="1">
        <v>19</v>
      </c>
      <c r="J42" s="3">
        <v>46050</v>
      </c>
      <c r="K42" s="3">
        <v>46050</v>
      </c>
      <c r="L42" s="2" t="s">
        <v>44</v>
      </c>
      <c r="M42" s="2" t="s">
        <v>26</v>
      </c>
      <c r="N42" s="2" t="s">
        <v>31</v>
      </c>
      <c r="O42" s="2" t="s">
        <v>31</v>
      </c>
      <c r="P42" s="1">
        <v>3040</v>
      </c>
      <c r="Q42" s="2" t="s">
        <v>57</v>
      </c>
      <c r="R42" s="1">
        <v>28</v>
      </c>
      <c r="S42" s="2" t="s">
        <v>28</v>
      </c>
      <c r="T42" s="2">
        <v>1</v>
      </c>
    </row>
    <row r="43" spans="1:20" x14ac:dyDescent="0.25">
      <c r="A43" s="1">
        <v>3041</v>
      </c>
      <c r="B43" s="1">
        <v>3039</v>
      </c>
      <c r="C43" s="2" t="s">
        <v>36</v>
      </c>
      <c r="D43" s="2" t="s">
        <v>30</v>
      </c>
      <c r="E43" s="2" t="s">
        <v>21</v>
      </c>
      <c r="F43" s="2" t="s">
        <v>58</v>
      </c>
      <c r="G43" s="2" t="s">
        <v>52</v>
      </c>
      <c r="H43" s="2" t="s">
        <v>55</v>
      </c>
      <c r="I43" s="1">
        <v>5</v>
      </c>
      <c r="J43" s="3">
        <v>46044</v>
      </c>
      <c r="K43" s="3">
        <v>46046</v>
      </c>
      <c r="L43" s="2" t="s">
        <v>50</v>
      </c>
      <c r="M43" s="2" t="s">
        <v>26</v>
      </c>
      <c r="N43" s="2" t="s">
        <v>42</v>
      </c>
      <c r="O43" s="2" t="s">
        <v>21</v>
      </c>
      <c r="P43" s="1">
        <v>3041</v>
      </c>
      <c r="Q43" s="2" t="s">
        <v>53</v>
      </c>
      <c r="R43" s="1">
        <v>22</v>
      </c>
      <c r="S43" s="2" t="s">
        <v>28</v>
      </c>
      <c r="T43" s="2">
        <v>1</v>
      </c>
    </row>
    <row r="44" spans="1:20" x14ac:dyDescent="0.25">
      <c r="A44" s="1">
        <v>3042</v>
      </c>
      <c r="B44" s="1">
        <v>3041</v>
      </c>
      <c r="C44" s="2" t="s">
        <v>29</v>
      </c>
      <c r="D44" s="2" t="s">
        <v>29</v>
      </c>
      <c r="E44" s="2" t="s">
        <v>42</v>
      </c>
      <c r="F44" s="2" t="s">
        <v>47</v>
      </c>
      <c r="G44" s="2" t="s">
        <v>66</v>
      </c>
      <c r="H44" s="2" t="s">
        <v>34</v>
      </c>
      <c r="I44" s="1">
        <v>10</v>
      </c>
      <c r="J44" s="3">
        <v>46048</v>
      </c>
      <c r="K44" s="3">
        <v>46048</v>
      </c>
      <c r="L44" s="2" t="s">
        <v>25</v>
      </c>
      <c r="M44" s="2" t="s">
        <v>26</v>
      </c>
      <c r="N44" s="2" t="s">
        <v>42</v>
      </c>
      <c r="O44" s="2" t="s">
        <v>42</v>
      </c>
      <c r="P44" s="1">
        <v>3042</v>
      </c>
      <c r="Q44" s="2" t="s">
        <v>60</v>
      </c>
      <c r="R44" s="1">
        <v>26</v>
      </c>
      <c r="S44" s="2" t="s">
        <v>28</v>
      </c>
      <c r="T44" s="2">
        <v>1</v>
      </c>
    </row>
    <row r="45" spans="1:20" x14ac:dyDescent="0.25">
      <c r="A45" s="1">
        <v>3043</v>
      </c>
      <c r="B45" s="1">
        <v>3041</v>
      </c>
      <c r="C45" s="2" t="s">
        <v>36</v>
      </c>
      <c r="D45" s="2" t="s">
        <v>46</v>
      </c>
      <c r="E45" s="2" t="s">
        <v>23</v>
      </c>
      <c r="F45" s="2" t="s">
        <v>32</v>
      </c>
      <c r="G45" s="2" t="s">
        <v>66</v>
      </c>
      <c r="H45" s="2" t="s">
        <v>34</v>
      </c>
      <c r="I45" s="1">
        <v>8</v>
      </c>
      <c r="J45" s="3">
        <v>46046</v>
      </c>
      <c r="K45" s="3">
        <v>46046</v>
      </c>
      <c r="L45" s="2" t="s">
        <v>39</v>
      </c>
      <c r="M45" s="2" t="s">
        <v>26</v>
      </c>
      <c r="N45" s="2" t="s">
        <v>42</v>
      </c>
      <c r="O45" s="2" t="s">
        <v>23</v>
      </c>
      <c r="P45" s="1">
        <v>3043</v>
      </c>
      <c r="Q45" s="2" t="s">
        <v>45</v>
      </c>
      <c r="R45" s="1">
        <v>24</v>
      </c>
      <c r="S45" s="2" t="s">
        <v>28</v>
      </c>
      <c r="T45" s="2">
        <v>1</v>
      </c>
    </row>
    <row r="46" spans="1:20" x14ac:dyDescent="0.25">
      <c r="A46" s="1">
        <v>3044</v>
      </c>
      <c r="B46" s="1">
        <v>3043</v>
      </c>
      <c r="C46" s="2" t="s">
        <v>36</v>
      </c>
      <c r="D46" s="2" t="s">
        <v>30</v>
      </c>
      <c r="E46" s="2" t="s">
        <v>49</v>
      </c>
      <c r="F46" s="2" t="s">
        <v>47</v>
      </c>
      <c r="G46" s="2" t="s">
        <v>23</v>
      </c>
      <c r="H46" s="2" t="s">
        <v>34</v>
      </c>
      <c r="I46" s="1">
        <v>13</v>
      </c>
      <c r="J46" s="3">
        <v>46049</v>
      </c>
      <c r="K46" s="3">
        <v>46050</v>
      </c>
      <c r="L46" s="2" t="s">
        <v>44</v>
      </c>
      <c r="M46" s="2" t="s">
        <v>26</v>
      </c>
      <c r="N46" s="2" t="s">
        <v>42</v>
      </c>
      <c r="O46" s="2" t="s">
        <v>49</v>
      </c>
      <c r="P46" s="1">
        <v>3044</v>
      </c>
      <c r="Q46" s="2" t="s">
        <v>51</v>
      </c>
      <c r="R46" s="1">
        <v>27</v>
      </c>
      <c r="S46" s="2" t="s">
        <v>28</v>
      </c>
      <c r="T46" s="2">
        <v>1</v>
      </c>
    </row>
    <row r="47" spans="1:20" x14ac:dyDescent="0.25">
      <c r="A47" s="1">
        <v>3045</v>
      </c>
      <c r="B47" s="1"/>
      <c r="C47" s="2" t="s">
        <v>30</v>
      </c>
      <c r="D47" s="2" t="s">
        <v>29</v>
      </c>
      <c r="E47" s="2" t="s">
        <v>49</v>
      </c>
      <c r="F47" s="2" t="s">
        <v>47</v>
      </c>
      <c r="G47" s="2" t="s">
        <v>56</v>
      </c>
      <c r="H47" s="2" t="s">
        <v>24</v>
      </c>
      <c r="I47" s="1">
        <v>4</v>
      </c>
      <c r="J47" s="3">
        <v>46048</v>
      </c>
      <c r="K47" s="3">
        <v>46050</v>
      </c>
      <c r="L47" s="2" t="s">
        <v>44</v>
      </c>
      <c r="M47" s="2" t="s">
        <v>26</v>
      </c>
      <c r="N47" s="2" t="s">
        <v>49</v>
      </c>
      <c r="O47" s="2" t="s">
        <v>49</v>
      </c>
      <c r="P47" s="1">
        <v>3045</v>
      </c>
      <c r="Q47" s="2" t="s">
        <v>60</v>
      </c>
      <c r="R47" s="1">
        <v>26</v>
      </c>
      <c r="S47" s="2" t="s">
        <v>28</v>
      </c>
      <c r="T47" s="2">
        <v>1</v>
      </c>
    </row>
    <row r="48" spans="1:20" x14ac:dyDescent="0.25">
      <c r="A48" s="1">
        <v>3046</v>
      </c>
      <c r="B48" s="1">
        <v>3045</v>
      </c>
      <c r="C48" s="2" t="s">
        <v>46</v>
      </c>
      <c r="D48" s="2" t="s">
        <v>46</v>
      </c>
      <c r="E48" s="2" t="s">
        <v>54</v>
      </c>
      <c r="F48" s="2" t="s">
        <v>58</v>
      </c>
      <c r="G48" s="2" t="s">
        <v>65</v>
      </c>
      <c r="H48" s="2" t="s">
        <v>24</v>
      </c>
      <c r="I48" s="1">
        <v>3</v>
      </c>
      <c r="J48" s="3">
        <v>46047</v>
      </c>
      <c r="K48" s="3">
        <v>46048</v>
      </c>
      <c r="L48" s="2" t="s">
        <v>44</v>
      </c>
      <c r="M48" s="2" t="s">
        <v>26</v>
      </c>
      <c r="N48" s="2" t="s">
        <v>49</v>
      </c>
      <c r="O48" s="2" t="s">
        <v>54</v>
      </c>
      <c r="P48" s="1">
        <v>3046</v>
      </c>
      <c r="Q48" s="2" t="s">
        <v>27</v>
      </c>
      <c r="R48" s="1">
        <v>25</v>
      </c>
      <c r="S48" s="2" t="s">
        <v>28</v>
      </c>
      <c r="T48" s="2">
        <v>1</v>
      </c>
    </row>
    <row r="49" spans="1:20" x14ac:dyDescent="0.25">
      <c r="A49" s="1">
        <v>3047</v>
      </c>
      <c r="B49" s="1">
        <v>3044</v>
      </c>
      <c r="C49" s="2" t="s">
        <v>30</v>
      </c>
      <c r="D49" s="2" t="s">
        <v>29</v>
      </c>
      <c r="E49" s="2" t="s">
        <v>31</v>
      </c>
      <c r="F49" s="2" t="s">
        <v>47</v>
      </c>
      <c r="G49" s="2" t="s">
        <v>23</v>
      </c>
      <c r="H49" s="2" t="s">
        <v>38</v>
      </c>
      <c r="I49" s="1">
        <v>26</v>
      </c>
      <c r="J49" s="3">
        <v>46045</v>
      </c>
      <c r="K49" s="3">
        <v>46045</v>
      </c>
      <c r="L49" s="2" t="s">
        <v>50</v>
      </c>
      <c r="M49" s="2" t="s">
        <v>26</v>
      </c>
      <c r="N49" s="2" t="s">
        <v>42</v>
      </c>
      <c r="O49" s="2" t="s">
        <v>31</v>
      </c>
      <c r="P49" s="1">
        <v>3047</v>
      </c>
      <c r="Q49" s="2" t="s">
        <v>35</v>
      </c>
      <c r="R49" s="1">
        <v>23</v>
      </c>
      <c r="S49" s="2" t="s">
        <v>28</v>
      </c>
      <c r="T49" s="2">
        <v>1</v>
      </c>
    </row>
    <row r="50" spans="1:20" x14ac:dyDescent="0.25">
      <c r="A50" s="1">
        <v>3048</v>
      </c>
      <c r="B50" s="1">
        <v>3047</v>
      </c>
      <c r="C50" s="2" t="s">
        <v>46</v>
      </c>
      <c r="D50" s="2" t="s">
        <v>20</v>
      </c>
      <c r="E50" s="2" t="s">
        <v>21</v>
      </c>
      <c r="F50" s="2" t="s">
        <v>58</v>
      </c>
      <c r="G50" s="2" t="s">
        <v>48</v>
      </c>
      <c r="H50" s="2" t="s">
        <v>62</v>
      </c>
      <c r="I50" s="1">
        <v>19</v>
      </c>
      <c r="J50" s="3">
        <v>46044</v>
      </c>
      <c r="K50" s="3">
        <v>46045</v>
      </c>
      <c r="L50" s="2" t="s">
        <v>44</v>
      </c>
      <c r="M50" s="2" t="s">
        <v>26</v>
      </c>
      <c r="N50" s="2" t="s">
        <v>42</v>
      </c>
      <c r="O50" s="2" t="s">
        <v>21</v>
      </c>
      <c r="P50" s="1">
        <v>3048</v>
      </c>
      <c r="Q50" s="2" t="s">
        <v>53</v>
      </c>
      <c r="R50" s="1">
        <v>22</v>
      </c>
      <c r="S50" s="2" t="s">
        <v>28</v>
      </c>
      <c r="T50" s="2">
        <v>1</v>
      </c>
    </row>
    <row r="51" spans="1:20" x14ac:dyDescent="0.25">
      <c r="A51" s="1">
        <v>3049</v>
      </c>
      <c r="B51" s="1">
        <v>3048</v>
      </c>
      <c r="C51" s="2" t="s">
        <v>29</v>
      </c>
      <c r="D51" s="2" t="s">
        <v>30</v>
      </c>
      <c r="E51" s="2" t="s">
        <v>42</v>
      </c>
      <c r="F51" s="2" t="s">
        <v>47</v>
      </c>
      <c r="G51" s="2" t="s">
        <v>43</v>
      </c>
      <c r="H51" s="2" t="s">
        <v>24</v>
      </c>
      <c r="I51" s="1">
        <v>2</v>
      </c>
      <c r="J51" s="3">
        <v>46043</v>
      </c>
      <c r="K51" s="3">
        <v>46043</v>
      </c>
      <c r="L51" s="2" t="s">
        <v>50</v>
      </c>
      <c r="M51" s="2" t="s">
        <v>26</v>
      </c>
      <c r="N51" s="2" t="s">
        <v>42</v>
      </c>
      <c r="O51" s="2" t="s">
        <v>42</v>
      </c>
      <c r="P51" s="1">
        <v>3049</v>
      </c>
      <c r="Q51" s="2" t="s">
        <v>57</v>
      </c>
      <c r="R51" s="1">
        <v>21</v>
      </c>
      <c r="S51" s="2" t="s">
        <v>28</v>
      </c>
      <c r="T51" s="2">
        <v>1</v>
      </c>
    </row>
    <row r="52" spans="1:20" x14ac:dyDescent="0.25">
      <c r="A52" s="1">
        <v>3050</v>
      </c>
      <c r="B52" s="1"/>
      <c r="C52" s="2" t="s">
        <v>30</v>
      </c>
      <c r="D52" s="2" t="s">
        <v>30</v>
      </c>
      <c r="E52" s="2" t="s">
        <v>49</v>
      </c>
      <c r="F52" s="2" t="s">
        <v>32</v>
      </c>
      <c r="G52" s="2" t="s">
        <v>33</v>
      </c>
      <c r="H52" s="2" t="s">
        <v>24</v>
      </c>
      <c r="I52" s="1">
        <v>2</v>
      </c>
      <c r="J52" s="3">
        <v>46050</v>
      </c>
      <c r="K52" s="3">
        <v>46052</v>
      </c>
      <c r="L52" s="2" t="s">
        <v>44</v>
      </c>
      <c r="M52" s="2" t="s">
        <v>26</v>
      </c>
      <c r="N52" s="2" t="s">
        <v>49</v>
      </c>
      <c r="O52" s="2" t="s">
        <v>49</v>
      </c>
      <c r="P52" s="1">
        <v>3050</v>
      </c>
      <c r="Q52" s="2" t="s">
        <v>57</v>
      </c>
      <c r="R52" s="1">
        <v>28</v>
      </c>
      <c r="S52" s="2" t="s">
        <v>28</v>
      </c>
      <c r="T52" s="2">
        <v>1</v>
      </c>
    </row>
    <row r="53" spans="1:20" x14ac:dyDescent="0.25">
      <c r="A53" s="1">
        <v>3051</v>
      </c>
      <c r="B53" s="1">
        <v>3048</v>
      </c>
      <c r="C53" s="2" t="s">
        <v>30</v>
      </c>
      <c r="D53" s="2" t="s">
        <v>29</v>
      </c>
      <c r="E53" s="2" t="s">
        <v>49</v>
      </c>
      <c r="F53" s="2" t="s">
        <v>58</v>
      </c>
      <c r="G53" s="2" t="s">
        <v>54</v>
      </c>
      <c r="H53" s="2" t="s">
        <v>24</v>
      </c>
      <c r="I53" s="1">
        <v>4</v>
      </c>
      <c r="J53" s="3">
        <v>46050</v>
      </c>
      <c r="K53" s="3">
        <v>46051</v>
      </c>
      <c r="L53" s="2" t="s">
        <v>39</v>
      </c>
      <c r="M53" s="2" t="s">
        <v>26</v>
      </c>
      <c r="N53" s="2" t="s">
        <v>42</v>
      </c>
      <c r="O53" s="2" t="s">
        <v>49</v>
      </c>
      <c r="P53" s="1">
        <v>3051</v>
      </c>
      <c r="Q53" s="2" t="s">
        <v>57</v>
      </c>
      <c r="R53" s="1">
        <v>28</v>
      </c>
      <c r="S53" s="2" t="s">
        <v>28</v>
      </c>
      <c r="T53" s="2">
        <v>1</v>
      </c>
    </row>
    <row r="54" spans="1:20" x14ac:dyDescent="0.25">
      <c r="A54" s="1">
        <v>3052</v>
      </c>
      <c r="B54" s="1">
        <v>3050</v>
      </c>
      <c r="C54" s="2" t="s">
        <v>30</v>
      </c>
      <c r="D54" s="2" t="s">
        <v>29</v>
      </c>
      <c r="E54" s="2" t="s">
        <v>64</v>
      </c>
      <c r="F54" s="2" t="s">
        <v>22</v>
      </c>
      <c r="G54" s="2" t="s">
        <v>61</v>
      </c>
      <c r="H54" s="2" t="s">
        <v>34</v>
      </c>
      <c r="I54" s="1">
        <v>14</v>
      </c>
      <c r="J54" s="3">
        <v>46044</v>
      </c>
      <c r="K54" s="3">
        <v>46044</v>
      </c>
      <c r="L54" s="2" t="s">
        <v>44</v>
      </c>
      <c r="M54" s="2" t="s">
        <v>26</v>
      </c>
      <c r="N54" s="2" t="s">
        <v>49</v>
      </c>
      <c r="O54" s="2" t="s">
        <v>64</v>
      </c>
      <c r="P54" s="1">
        <v>3052</v>
      </c>
      <c r="Q54" s="2" t="s">
        <v>53</v>
      </c>
      <c r="R54" s="1">
        <v>22</v>
      </c>
      <c r="S54" s="2" t="s">
        <v>28</v>
      </c>
      <c r="T54" s="2">
        <v>1</v>
      </c>
    </row>
    <row r="55" spans="1:20" x14ac:dyDescent="0.25">
      <c r="A55" s="1">
        <v>3053</v>
      </c>
      <c r="B55" s="1">
        <v>3052</v>
      </c>
      <c r="C55" s="2" t="s">
        <v>30</v>
      </c>
      <c r="D55" s="2" t="s">
        <v>46</v>
      </c>
      <c r="E55" s="2" t="s">
        <v>64</v>
      </c>
      <c r="F55" s="2" t="s">
        <v>32</v>
      </c>
      <c r="G55" s="2" t="s">
        <v>37</v>
      </c>
      <c r="H55" s="2" t="s">
        <v>34</v>
      </c>
      <c r="I55" s="1">
        <v>10</v>
      </c>
      <c r="J55" s="3">
        <v>46047</v>
      </c>
      <c r="K55" s="3">
        <v>46048</v>
      </c>
      <c r="L55" s="2" t="s">
        <v>44</v>
      </c>
      <c r="M55" s="2" t="s">
        <v>26</v>
      </c>
      <c r="N55" s="2" t="s">
        <v>49</v>
      </c>
      <c r="O55" s="2" t="s">
        <v>64</v>
      </c>
      <c r="P55" s="1">
        <v>3053</v>
      </c>
      <c r="Q55" s="2" t="s">
        <v>27</v>
      </c>
      <c r="R55" s="1">
        <v>25</v>
      </c>
      <c r="S55" s="2" t="s">
        <v>28</v>
      </c>
      <c r="T55" s="2">
        <v>1</v>
      </c>
    </row>
    <row r="56" spans="1:20" x14ac:dyDescent="0.25">
      <c r="A56" s="1">
        <v>3054</v>
      </c>
      <c r="B56" s="1">
        <v>3052</v>
      </c>
      <c r="C56" s="2" t="s">
        <v>20</v>
      </c>
      <c r="D56" s="2" t="s">
        <v>20</v>
      </c>
      <c r="E56" s="2" t="s">
        <v>54</v>
      </c>
      <c r="F56" s="2" t="s">
        <v>22</v>
      </c>
      <c r="G56" s="2" t="s">
        <v>48</v>
      </c>
      <c r="H56" s="2" t="s">
        <v>62</v>
      </c>
      <c r="I56" s="1">
        <v>19</v>
      </c>
      <c r="J56" s="3">
        <v>46049</v>
      </c>
      <c r="K56" s="3">
        <v>46050</v>
      </c>
      <c r="L56" s="2" t="s">
        <v>39</v>
      </c>
      <c r="M56" s="2" t="s">
        <v>26</v>
      </c>
      <c r="N56" s="2" t="s">
        <v>49</v>
      </c>
      <c r="O56" s="2" t="s">
        <v>54</v>
      </c>
      <c r="P56" s="1">
        <v>3054</v>
      </c>
      <c r="Q56" s="2" t="s">
        <v>51</v>
      </c>
      <c r="R56" s="1">
        <v>27</v>
      </c>
      <c r="S56" s="2" t="s">
        <v>28</v>
      </c>
      <c r="T56" s="2">
        <v>1</v>
      </c>
    </row>
    <row r="57" spans="1:20" x14ac:dyDescent="0.25">
      <c r="A57" s="1">
        <v>3055</v>
      </c>
      <c r="B57" s="1"/>
      <c r="C57" s="2" t="s">
        <v>29</v>
      </c>
      <c r="D57" s="2" t="s">
        <v>36</v>
      </c>
      <c r="E57" s="2" t="s">
        <v>37</v>
      </c>
      <c r="F57" s="2" t="s">
        <v>58</v>
      </c>
      <c r="G57" s="2" t="s">
        <v>48</v>
      </c>
      <c r="H57" s="2" t="s">
        <v>55</v>
      </c>
      <c r="I57" s="1">
        <v>7</v>
      </c>
      <c r="J57" s="3">
        <v>46044</v>
      </c>
      <c r="K57" s="3">
        <v>46045</v>
      </c>
      <c r="L57" s="2" t="s">
        <v>44</v>
      </c>
      <c r="M57" s="2" t="s">
        <v>26</v>
      </c>
      <c r="N57" s="2" t="s">
        <v>37</v>
      </c>
      <c r="O57" s="2" t="s">
        <v>37</v>
      </c>
      <c r="P57" s="1">
        <v>3055</v>
      </c>
      <c r="Q57" s="2" t="s">
        <v>53</v>
      </c>
      <c r="R57" s="1">
        <v>22</v>
      </c>
      <c r="S57" s="2" t="s">
        <v>28</v>
      </c>
      <c r="T57" s="2">
        <v>1</v>
      </c>
    </row>
    <row r="58" spans="1:20" x14ac:dyDescent="0.25">
      <c r="A58" s="1">
        <v>3056</v>
      </c>
      <c r="B58" s="1">
        <v>3053</v>
      </c>
      <c r="C58" s="2" t="s">
        <v>36</v>
      </c>
      <c r="D58" s="2" t="s">
        <v>19</v>
      </c>
      <c r="E58" s="2" t="s">
        <v>21</v>
      </c>
      <c r="F58" s="2" t="s">
        <v>47</v>
      </c>
      <c r="G58" s="2" t="s">
        <v>66</v>
      </c>
      <c r="H58" s="2" t="s">
        <v>34</v>
      </c>
      <c r="I58" s="1">
        <v>9</v>
      </c>
      <c r="J58" s="3">
        <v>46046</v>
      </c>
      <c r="K58" s="3">
        <v>46047</v>
      </c>
      <c r="L58" s="2" t="s">
        <v>50</v>
      </c>
      <c r="M58" s="2" t="s">
        <v>26</v>
      </c>
      <c r="N58" s="2" t="s">
        <v>49</v>
      </c>
      <c r="O58" s="2" t="s">
        <v>21</v>
      </c>
      <c r="P58" s="1">
        <v>3056</v>
      </c>
      <c r="Q58" s="2" t="s">
        <v>45</v>
      </c>
      <c r="R58" s="1">
        <v>24</v>
      </c>
      <c r="S58" s="2" t="s">
        <v>28</v>
      </c>
      <c r="T58" s="2">
        <v>1</v>
      </c>
    </row>
    <row r="59" spans="1:20" x14ac:dyDescent="0.25">
      <c r="A59" s="1">
        <v>3057</v>
      </c>
      <c r="B59" s="1">
        <v>3056</v>
      </c>
      <c r="C59" s="2" t="s">
        <v>46</v>
      </c>
      <c r="D59" s="2" t="s">
        <v>36</v>
      </c>
      <c r="E59" s="2" t="s">
        <v>31</v>
      </c>
      <c r="F59" s="2" t="s">
        <v>58</v>
      </c>
      <c r="G59" s="2" t="s">
        <v>66</v>
      </c>
      <c r="H59" s="2" t="s">
        <v>38</v>
      </c>
      <c r="I59" s="1">
        <v>28</v>
      </c>
      <c r="J59" s="3">
        <v>46049</v>
      </c>
      <c r="K59" s="3">
        <v>46051</v>
      </c>
      <c r="L59" s="2" t="s">
        <v>50</v>
      </c>
      <c r="M59" s="2" t="s">
        <v>26</v>
      </c>
      <c r="N59" s="2" t="s">
        <v>49</v>
      </c>
      <c r="O59" s="2" t="s">
        <v>31</v>
      </c>
      <c r="P59" s="1">
        <v>3057</v>
      </c>
      <c r="Q59" s="2" t="s">
        <v>51</v>
      </c>
      <c r="R59" s="1">
        <v>27</v>
      </c>
      <c r="S59" s="2" t="s">
        <v>28</v>
      </c>
      <c r="T59" s="2">
        <v>1</v>
      </c>
    </row>
    <row r="60" spans="1:20" x14ac:dyDescent="0.25">
      <c r="A60" s="1">
        <v>3058</v>
      </c>
      <c r="B60" s="1">
        <v>3056</v>
      </c>
      <c r="C60" s="2" t="s">
        <v>29</v>
      </c>
      <c r="D60" s="2" t="s">
        <v>19</v>
      </c>
      <c r="E60" s="2" t="s">
        <v>42</v>
      </c>
      <c r="F60" s="2" t="s">
        <v>47</v>
      </c>
      <c r="G60" s="2" t="s">
        <v>67</v>
      </c>
      <c r="H60" s="2" t="s">
        <v>24</v>
      </c>
      <c r="I60" s="1">
        <v>4</v>
      </c>
      <c r="J60" s="3">
        <v>46048</v>
      </c>
      <c r="K60" s="3">
        <v>46048</v>
      </c>
      <c r="L60" s="2" t="s">
        <v>44</v>
      </c>
      <c r="M60" s="2" t="s">
        <v>26</v>
      </c>
      <c r="N60" s="2" t="s">
        <v>49</v>
      </c>
      <c r="O60" s="2" t="s">
        <v>42</v>
      </c>
      <c r="P60" s="1">
        <v>3058</v>
      </c>
      <c r="Q60" s="2" t="s">
        <v>60</v>
      </c>
      <c r="R60" s="1">
        <v>26</v>
      </c>
      <c r="S60" s="2" t="s">
        <v>28</v>
      </c>
      <c r="T60" s="2">
        <v>1</v>
      </c>
    </row>
    <row r="61" spans="1:20" x14ac:dyDescent="0.25">
      <c r="A61" s="1">
        <v>3059</v>
      </c>
      <c r="B61" s="1">
        <v>3058</v>
      </c>
      <c r="C61" s="2" t="s">
        <v>29</v>
      </c>
      <c r="D61" s="2" t="s">
        <v>20</v>
      </c>
      <c r="E61" s="2" t="s">
        <v>54</v>
      </c>
      <c r="F61" s="2" t="s">
        <v>47</v>
      </c>
      <c r="G61" s="2" t="s">
        <v>43</v>
      </c>
      <c r="H61" s="2" t="s">
        <v>62</v>
      </c>
      <c r="I61" s="1">
        <v>19</v>
      </c>
      <c r="J61" s="3">
        <v>46050</v>
      </c>
      <c r="K61" s="3">
        <v>46051</v>
      </c>
      <c r="L61" s="2" t="s">
        <v>50</v>
      </c>
      <c r="M61" s="2" t="s">
        <v>26</v>
      </c>
      <c r="N61" s="2" t="s">
        <v>49</v>
      </c>
      <c r="O61" s="2" t="s">
        <v>54</v>
      </c>
      <c r="P61" s="1">
        <v>3059</v>
      </c>
      <c r="Q61" s="2" t="s">
        <v>57</v>
      </c>
      <c r="R61" s="1">
        <v>28</v>
      </c>
      <c r="S61" s="2" t="s">
        <v>28</v>
      </c>
      <c r="T61" s="2">
        <v>1</v>
      </c>
    </row>
    <row r="62" spans="1:20" x14ac:dyDescent="0.25">
      <c r="A62" s="1">
        <v>3060</v>
      </c>
      <c r="B62" s="1"/>
      <c r="C62" s="2" t="s">
        <v>36</v>
      </c>
      <c r="D62" s="2" t="s">
        <v>20</v>
      </c>
      <c r="E62" s="2" t="s">
        <v>23</v>
      </c>
      <c r="F62" s="2" t="s">
        <v>58</v>
      </c>
      <c r="G62" s="2" t="s">
        <v>41</v>
      </c>
      <c r="H62" s="2" t="s">
        <v>34</v>
      </c>
      <c r="I62" s="1">
        <v>10</v>
      </c>
      <c r="J62" s="3">
        <v>46045</v>
      </c>
      <c r="K62" s="3">
        <v>46046</v>
      </c>
      <c r="L62" s="2" t="s">
        <v>25</v>
      </c>
      <c r="M62" s="2" t="s">
        <v>26</v>
      </c>
      <c r="N62" s="2" t="s">
        <v>23</v>
      </c>
      <c r="O62" s="2" t="s">
        <v>23</v>
      </c>
      <c r="P62" s="1">
        <v>3060</v>
      </c>
      <c r="Q62" s="2" t="s">
        <v>35</v>
      </c>
      <c r="R62" s="1">
        <v>23</v>
      </c>
      <c r="S62" s="2" t="s">
        <v>28</v>
      </c>
      <c r="T62" s="2">
        <v>1</v>
      </c>
    </row>
    <row r="63" spans="1:20" x14ac:dyDescent="0.25">
      <c r="A63" s="1">
        <v>3061</v>
      </c>
      <c r="B63" s="1">
        <v>3060</v>
      </c>
      <c r="C63" s="2" t="s">
        <v>19</v>
      </c>
      <c r="D63" s="2" t="s">
        <v>30</v>
      </c>
      <c r="E63" s="2" t="s">
        <v>64</v>
      </c>
      <c r="F63" s="2" t="s">
        <v>22</v>
      </c>
      <c r="G63" s="2" t="s">
        <v>61</v>
      </c>
      <c r="H63" s="2" t="s">
        <v>34</v>
      </c>
      <c r="I63" s="1">
        <v>10</v>
      </c>
      <c r="J63" s="3">
        <v>46049</v>
      </c>
      <c r="K63" s="3">
        <v>46049</v>
      </c>
      <c r="L63" s="2" t="s">
        <v>50</v>
      </c>
      <c r="M63" s="2" t="s">
        <v>26</v>
      </c>
      <c r="N63" s="2" t="s">
        <v>23</v>
      </c>
      <c r="O63" s="2" t="s">
        <v>64</v>
      </c>
      <c r="P63" s="1">
        <v>3061</v>
      </c>
      <c r="Q63" s="2" t="s">
        <v>51</v>
      </c>
      <c r="R63" s="1">
        <v>27</v>
      </c>
      <c r="S63" s="2" t="s">
        <v>28</v>
      </c>
      <c r="T63" s="2">
        <v>1</v>
      </c>
    </row>
    <row r="64" spans="1:20" x14ac:dyDescent="0.25">
      <c r="A64" s="1">
        <v>3062</v>
      </c>
      <c r="B64" s="1">
        <v>3060</v>
      </c>
      <c r="C64" s="2" t="s">
        <v>19</v>
      </c>
      <c r="D64" s="2" t="s">
        <v>46</v>
      </c>
      <c r="E64" s="2" t="s">
        <v>31</v>
      </c>
      <c r="F64" s="2" t="s">
        <v>58</v>
      </c>
      <c r="G64" s="2" t="s">
        <v>61</v>
      </c>
      <c r="H64" s="2" t="s">
        <v>38</v>
      </c>
      <c r="I64" s="1">
        <v>24</v>
      </c>
      <c r="J64" s="3">
        <v>46045</v>
      </c>
      <c r="K64" s="3">
        <v>46045</v>
      </c>
      <c r="L64" s="2" t="s">
        <v>25</v>
      </c>
      <c r="M64" s="2" t="s">
        <v>26</v>
      </c>
      <c r="N64" s="2" t="s">
        <v>23</v>
      </c>
      <c r="O64" s="2" t="s">
        <v>31</v>
      </c>
      <c r="P64" s="1">
        <v>3062</v>
      </c>
      <c r="Q64" s="2" t="s">
        <v>35</v>
      </c>
      <c r="R64" s="1">
        <v>23</v>
      </c>
      <c r="S64" s="2" t="s">
        <v>28</v>
      </c>
      <c r="T64" s="2">
        <v>1</v>
      </c>
    </row>
    <row r="65" spans="1:20" x14ac:dyDescent="0.25">
      <c r="A65" s="1">
        <v>3063</v>
      </c>
      <c r="B65" s="1">
        <v>3061</v>
      </c>
      <c r="C65" s="2" t="s">
        <v>36</v>
      </c>
      <c r="D65" s="2" t="s">
        <v>19</v>
      </c>
      <c r="E65" s="2" t="s">
        <v>42</v>
      </c>
      <c r="F65" s="2" t="s">
        <v>58</v>
      </c>
      <c r="G65" s="2" t="s">
        <v>41</v>
      </c>
      <c r="H65" s="2" t="s">
        <v>34</v>
      </c>
      <c r="I65" s="1">
        <v>8</v>
      </c>
      <c r="J65" s="3">
        <v>46048</v>
      </c>
      <c r="K65" s="3">
        <v>46049</v>
      </c>
      <c r="L65" s="2" t="s">
        <v>44</v>
      </c>
      <c r="M65" s="2" t="s">
        <v>26</v>
      </c>
      <c r="N65" s="2" t="s">
        <v>23</v>
      </c>
      <c r="O65" s="2" t="s">
        <v>42</v>
      </c>
      <c r="P65" s="1">
        <v>3063</v>
      </c>
      <c r="Q65" s="2" t="s">
        <v>60</v>
      </c>
      <c r="R65" s="1">
        <v>26</v>
      </c>
      <c r="S65" s="2" t="s">
        <v>28</v>
      </c>
      <c r="T65" s="2">
        <v>1</v>
      </c>
    </row>
    <row r="66" spans="1:20" x14ac:dyDescent="0.25">
      <c r="A66" s="1">
        <v>3064</v>
      </c>
      <c r="B66" s="1">
        <v>3061</v>
      </c>
      <c r="C66" s="2" t="s">
        <v>20</v>
      </c>
      <c r="D66" s="2" t="s">
        <v>20</v>
      </c>
      <c r="E66" s="2" t="s">
        <v>42</v>
      </c>
      <c r="F66" s="2" t="s">
        <v>32</v>
      </c>
      <c r="G66" s="2" t="s">
        <v>33</v>
      </c>
      <c r="H66" s="2" t="s">
        <v>62</v>
      </c>
      <c r="I66" s="1">
        <v>18</v>
      </c>
      <c r="J66" s="3">
        <v>46049</v>
      </c>
      <c r="K66" s="3">
        <v>46050</v>
      </c>
      <c r="L66" s="2" t="s">
        <v>39</v>
      </c>
      <c r="M66" s="2" t="s">
        <v>26</v>
      </c>
      <c r="N66" s="2" t="s">
        <v>23</v>
      </c>
      <c r="O66" s="2" t="s">
        <v>42</v>
      </c>
      <c r="P66" s="1">
        <v>3064</v>
      </c>
      <c r="Q66" s="2" t="s">
        <v>51</v>
      </c>
      <c r="R66" s="1">
        <v>27</v>
      </c>
      <c r="S66" s="2" t="s">
        <v>28</v>
      </c>
      <c r="T66" s="2">
        <v>1</v>
      </c>
    </row>
    <row r="67" spans="1:20" x14ac:dyDescent="0.25">
      <c r="A67" s="1">
        <v>3065</v>
      </c>
      <c r="B67" s="1"/>
      <c r="C67" s="2" t="s">
        <v>29</v>
      </c>
      <c r="D67" s="2" t="s">
        <v>19</v>
      </c>
      <c r="E67" s="2" t="s">
        <v>31</v>
      </c>
      <c r="F67" s="2" t="s">
        <v>47</v>
      </c>
      <c r="G67" s="2" t="s">
        <v>48</v>
      </c>
      <c r="H67" s="2" t="s">
        <v>62</v>
      </c>
      <c r="I67" s="1">
        <v>19</v>
      </c>
      <c r="J67" s="3">
        <v>46045</v>
      </c>
      <c r="K67" s="3">
        <v>46045</v>
      </c>
      <c r="L67" s="2" t="s">
        <v>25</v>
      </c>
      <c r="M67" s="2" t="s">
        <v>26</v>
      </c>
      <c r="N67" s="2" t="s">
        <v>31</v>
      </c>
      <c r="O67" s="2" t="s">
        <v>31</v>
      </c>
      <c r="P67" s="1">
        <v>3065</v>
      </c>
      <c r="Q67" s="2" t="s">
        <v>35</v>
      </c>
      <c r="R67" s="1">
        <v>23</v>
      </c>
      <c r="S67" s="2" t="s">
        <v>28</v>
      </c>
      <c r="T67" s="2">
        <v>1</v>
      </c>
    </row>
    <row r="68" spans="1:20" x14ac:dyDescent="0.25">
      <c r="A68" s="1">
        <v>3066</v>
      </c>
      <c r="B68" s="1">
        <v>3063</v>
      </c>
      <c r="C68" s="2" t="s">
        <v>20</v>
      </c>
      <c r="D68" s="2" t="s">
        <v>20</v>
      </c>
      <c r="E68" s="2" t="s">
        <v>42</v>
      </c>
      <c r="F68" s="2" t="s">
        <v>58</v>
      </c>
      <c r="G68" s="2" t="s">
        <v>67</v>
      </c>
      <c r="H68" s="2" t="s">
        <v>24</v>
      </c>
      <c r="I68" s="1">
        <v>4</v>
      </c>
      <c r="J68" s="3">
        <v>46050</v>
      </c>
      <c r="K68" s="3">
        <v>46051</v>
      </c>
      <c r="L68" s="2" t="s">
        <v>25</v>
      </c>
      <c r="M68" s="2" t="s">
        <v>26</v>
      </c>
      <c r="N68" s="2" t="s">
        <v>23</v>
      </c>
      <c r="O68" s="2" t="s">
        <v>42</v>
      </c>
      <c r="P68" s="1">
        <v>3066</v>
      </c>
      <c r="Q68" s="2" t="s">
        <v>57</v>
      </c>
      <c r="R68" s="1">
        <v>28</v>
      </c>
      <c r="S68" s="2" t="s">
        <v>28</v>
      </c>
      <c r="T68" s="2">
        <v>1</v>
      </c>
    </row>
    <row r="69" spans="1:20" x14ac:dyDescent="0.25">
      <c r="A69" s="1">
        <v>3067</v>
      </c>
      <c r="B69" s="1">
        <v>3064</v>
      </c>
      <c r="C69" s="2" t="s">
        <v>19</v>
      </c>
      <c r="D69" s="2" t="s">
        <v>19</v>
      </c>
      <c r="E69" s="2" t="s">
        <v>31</v>
      </c>
      <c r="F69" s="2" t="s">
        <v>22</v>
      </c>
      <c r="G69" s="2" t="s">
        <v>54</v>
      </c>
      <c r="H69" s="2" t="s">
        <v>62</v>
      </c>
      <c r="I69" s="1">
        <v>22</v>
      </c>
      <c r="J69" s="3">
        <v>46047</v>
      </c>
      <c r="K69" s="3">
        <v>46048</v>
      </c>
      <c r="L69" s="2" t="s">
        <v>44</v>
      </c>
      <c r="M69" s="2" t="s">
        <v>26</v>
      </c>
      <c r="N69" s="2" t="s">
        <v>23</v>
      </c>
      <c r="O69" s="2" t="s">
        <v>31</v>
      </c>
      <c r="P69" s="1">
        <v>3067</v>
      </c>
      <c r="Q69" s="2" t="s">
        <v>27</v>
      </c>
      <c r="R69" s="1">
        <v>25</v>
      </c>
      <c r="S69" s="2" t="s">
        <v>28</v>
      </c>
      <c r="T69" s="2">
        <v>1</v>
      </c>
    </row>
    <row r="70" spans="1:20" x14ac:dyDescent="0.25">
      <c r="A70" s="1">
        <v>3068</v>
      </c>
      <c r="B70" s="1">
        <v>3065</v>
      </c>
      <c r="C70" s="2" t="s">
        <v>30</v>
      </c>
      <c r="D70" s="2" t="s">
        <v>36</v>
      </c>
      <c r="E70" s="2" t="s">
        <v>42</v>
      </c>
      <c r="F70" s="2" t="s">
        <v>22</v>
      </c>
      <c r="G70" s="2" t="s">
        <v>61</v>
      </c>
      <c r="H70" s="2" t="s">
        <v>34</v>
      </c>
      <c r="I70" s="1">
        <v>9</v>
      </c>
      <c r="J70" s="3">
        <v>46048</v>
      </c>
      <c r="K70" s="3">
        <v>46049</v>
      </c>
      <c r="L70" s="2" t="s">
        <v>39</v>
      </c>
      <c r="M70" s="2" t="s">
        <v>26</v>
      </c>
      <c r="N70" s="2" t="s">
        <v>31</v>
      </c>
      <c r="O70" s="2" t="s">
        <v>42</v>
      </c>
      <c r="P70" s="1">
        <v>3068</v>
      </c>
      <c r="Q70" s="2" t="s">
        <v>60</v>
      </c>
      <c r="R70" s="1">
        <v>26</v>
      </c>
      <c r="S70" s="2" t="s">
        <v>28</v>
      </c>
      <c r="T70" s="2">
        <v>1</v>
      </c>
    </row>
    <row r="71" spans="1:20" x14ac:dyDescent="0.25">
      <c r="A71" s="1">
        <v>3069</v>
      </c>
      <c r="B71" s="1">
        <v>3067</v>
      </c>
      <c r="C71" s="2" t="s">
        <v>36</v>
      </c>
      <c r="D71" s="2" t="s">
        <v>19</v>
      </c>
      <c r="E71" s="2" t="s">
        <v>64</v>
      </c>
      <c r="F71" s="2" t="s">
        <v>47</v>
      </c>
      <c r="G71" s="2" t="s">
        <v>23</v>
      </c>
      <c r="H71" s="2" t="s">
        <v>62</v>
      </c>
      <c r="I71" s="1">
        <v>21</v>
      </c>
      <c r="J71" s="3">
        <v>46049</v>
      </c>
      <c r="K71" s="3">
        <v>46050</v>
      </c>
      <c r="L71" s="2" t="s">
        <v>25</v>
      </c>
      <c r="M71" s="2" t="s">
        <v>26</v>
      </c>
      <c r="N71" s="2" t="s">
        <v>23</v>
      </c>
      <c r="O71" s="2" t="s">
        <v>64</v>
      </c>
      <c r="P71" s="1">
        <v>3069</v>
      </c>
      <c r="Q71" s="2" t="s">
        <v>51</v>
      </c>
      <c r="R71" s="1">
        <v>27</v>
      </c>
      <c r="S71" s="2" t="s">
        <v>28</v>
      </c>
      <c r="T71" s="2">
        <v>1</v>
      </c>
    </row>
    <row r="72" spans="1:20" x14ac:dyDescent="0.25">
      <c r="A72" s="1">
        <v>3070</v>
      </c>
      <c r="B72" s="1"/>
      <c r="C72" s="2" t="s">
        <v>20</v>
      </c>
      <c r="D72" s="2" t="s">
        <v>19</v>
      </c>
      <c r="E72" s="2" t="s">
        <v>54</v>
      </c>
      <c r="F72" s="2" t="s">
        <v>32</v>
      </c>
      <c r="G72" s="2" t="s">
        <v>61</v>
      </c>
      <c r="H72" s="2" t="s">
        <v>55</v>
      </c>
      <c r="I72" s="1">
        <v>7</v>
      </c>
      <c r="J72" s="3">
        <v>46043</v>
      </c>
      <c r="K72" s="3">
        <v>46044</v>
      </c>
      <c r="L72" s="2" t="s">
        <v>25</v>
      </c>
      <c r="M72" s="2" t="s">
        <v>26</v>
      </c>
      <c r="N72" s="2" t="s">
        <v>54</v>
      </c>
      <c r="O72" s="2" t="s">
        <v>54</v>
      </c>
      <c r="P72" s="1">
        <v>3070</v>
      </c>
      <c r="Q72" s="2" t="s">
        <v>57</v>
      </c>
      <c r="R72" s="1">
        <v>21</v>
      </c>
      <c r="S72" s="2" t="s">
        <v>28</v>
      </c>
      <c r="T72" s="2">
        <v>1</v>
      </c>
    </row>
    <row r="73" spans="1:20" x14ac:dyDescent="0.25">
      <c r="A73" s="1">
        <v>3071</v>
      </c>
      <c r="B73" s="1">
        <v>3068</v>
      </c>
      <c r="C73" s="2" t="s">
        <v>19</v>
      </c>
      <c r="D73" s="2" t="s">
        <v>46</v>
      </c>
      <c r="E73" s="2" t="s">
        <v>64</v>
      </c>
      <c r="F73" s="2" t="s">
        <v>22</v>
      </c>
      <c r="G73" s="2" t="s">
        <v>66</v>
      </c>
      <c r="H73" s="2" t="s">
        <v>38</v>
      </c>
      <c r="I73" s="1">
        <v>28</v>
      </c>
      <c r="J73" s="3">
        <v>46045</v>
      </c>
      <c r="K73" s="3">
        <v>46046</v>
      </c>
      <c r="L73" s="2" t="s">
        <v>25</v>
      </c>
      <c r="M73" s="2" t="s">
        <v>26</v>
      </c>
      <c r="N73" s="2" t="s">
        <v>31</v>
      </c>
      <c r="O73" s="2" t="s">
        <v>64</v>
      </c>
      <c r="P73" s="1">
        <v>3071</v>
      </c>
      <c r="Q73" s="2" t="s">
        <v>35</v>
      </c>
      <c r="R73" s="1">
        <v>23</v>
      </c>
      <c r="S73" s="2" t="s">
        <v>28</v>
      </c>
      <c r="T73" s="2">
        <v>1</v>
      </c>
    </row>
    <row r="74" spans="1:20" x14ac:dyDescent="0.25">
      <c r="A74" s="1">
        <v>3072</v>
      </c>
      <c r="B74" s="1">
        <v>3070</v>
      </c>
      <c r="C74" s="2" t="s">
        <v>46</v>
      </c>
      <c r="D74" s="2" t="s">
        <v>20</v>
      </c>
      <c r="E74" s="2" t="s">
        <v>21</v>
      </c>
      <c r="F74" s="2" t="s">
        <v>32</v>
      </c>
      <c r="G74" s="2" t="s">
        <v>23</v>
      </c>
      <c r="H74" s="2" t="s">
        <v>24</v>
      </c>
      <c r="I74" s="1">
        <v>5</v>
      </c>
      <c r="J74" s="3">
        <v>46045</v>
      </c>
      <c r="K74" s="3">
        <v>46046</v>
      </c>
      <c r="L74" s="2" t="s">
        <v>39</v>
      </c>
      <c r="M74" s="2" t="s">
        <v>26</v>
      </c>
      <c r="N74" s="2" t="s">
        <v>54</v>
      </c>
      <c r="O74" s="2" t="s">
        <v>21</v>
      </c>
      <c r="P74" s="1">
        <v>3072</v>
      </c>
      <c r="Q74" s="2" t="s">
        <v>35</v>
      </c>
      <c r="R74" s="1">
        <v>23</v>
      </c>
      <c r="S74" s="2" t="s">
        <v>28</v>
      </c>
      <c r="T74" s="2">
        <v>1</v>
      </c>
    </row>
    <row r="75" spans="1:20" x14ac:dyDescent="0.25">
      <c r="A75" s="1">
        <v>3073</v>
      </c>
      <c r="B75" s="1">
        <v>3071</v>
      </c>
      <c r="C75" s="2" t="s">
        <v>19</v>
      </c>
      <c r="D75" s="2" t="s">
        <v>29</v>
      </c>
      <c r="E75" s="2" t="s">
        <v>21</v>
      </c>
      <c r="F75" s="2" t="s">
        <v>22</v>
      </c>
      <c r="G75" s="2" t="s">
        <v>23</v>
      </c>
      <c r="H75" s="2" t="s">
        <v>55</v>
      </c>
      <c r="I75" s="1">
        <v>4</v>
      </c>
      <c r="J75" s="3">
        <v>46050</v>
      </c>
      <c r="K75" s="3">
        <v>46051</v>
      </c>
      <c r="L75" s="2" t="s">
        <v>50</v>
      </c>
      <c r="M75" s="2" t="s">
        <v>26</v>
      </c>
      <c r="N75" s="2" t="s">
        <v>31</v>
      </c>
      <c r="O75" s="2" t="s">
        <v>21</v>
      </c>
      <c r="P75" s="1">
        <v>3073</v>
      </c>
      <c r="Q75" s="2" t="s">
        <v>57</v>
      </c>
      <c r="R75" s="1">
        <v>28</v>
      </c>
      <c r="S75" s="2" t="s">
        <v>28</v>
      </c>
      <c r="T75" s="2">
        <v>1</v>
      </c>
    </row>
    <row r="76" spans="1:20" x14ac:dyDescent="0.25">
      <c r="A76" s="1">
        <v>3074</v>
      </c>
      <c r="B76" s="1">
        <v>3071</v>
      </c>
      <c r="C76" s="2" t="s">
        <v>19</v>
      </c>
      <c r="D76" s="2" t="s">
        <v>46</v>
      </c>
      <c r="E76" s="2" t="s">
        <v>37</v>
      </c>
      <c r="F76" s="2" t="s">
        <v>22</v>
      </c>
      <c r="G76" s="2" t="s">
        <v>67</v>
      </c>
      <c r="H76" s="2" t="s">
        <v>38</v>
      </c>
      <c r="I76" s="1">
        <v>27</v>
      </c>
      <c r="J76" s="3">
        <v>46048</v>
      </c>
      <c r="K76" s="3">
        <v>46050</v>
      </c>
      <c r="L76" s="2" t="s">
        <v>44</v>
      </c>
      <c r="M76" s="2" t="s">
        <v>26</v>
      </c>
      <c r="N76" s="2" t="s">
        <v>31</v>
      </c>
      <c r="O76" s="2" t="s">
        <v>37</v>
      </c>
      <c r="P76" s="1">
        <v>3074</v>
      </c>
      <c r="Q76" s="2" t="s">
        <v>60</v>
      </c>
      <c r="R76" s="1">
        <v>26</v>
      </c>
      <c r="S76" s="2" t="s">
        <v>28</v>
      </c>
      <c r="T76" s="2">
        <v>1</v>
      </c>
    </row>
    <row r="77" spans="1:20" x14ac:dyDescent="0.25">
      <c r="A77" s="1">
        <v>3075</v>
      </c>
      <c r="B77" s="1"/>
      <c r="C77" s="2" t="s">
        <v>19</v>
      </c>
      <c r="D77" s="2" t="s">
        <v>30</v>
      </c>
      <c r="E77" s="2" t="s">
        <v>54</v>
      </c>
      <c r="F77" s="2" t="s">
        <v>32</v>
      </c>
      <c r="G77" s="2" t="s">
        <v>41</v>
      </c>
      <c r="H77" s="2" t="s">
        <v>34</v>
      </c>
      <c r="I77" s="1">
        <v>11</v>
      </c>
      <c r="J77" s="3">
        <v>46049</v>
      </c>
      <c r="K77" s="3">
        <v>46049</v>
      </c>
      <c r="L77" s="2" t="s">
        <v>25</v>
      </c>
      <c r="M77" s="2" t="s">
        <v>26</v>
      </c>
      <c r="N77" s="2" t="s">
        <v>54</v>
      </c>
      <c r="O77" s="2" t="s">
        <v>54</v>
      </c>
      <c r="P77" s="1">
        <v>3075</v>
      </c>
      <c r="Q77" s="2" t="s">
        <v>51</v>
      </c>
      <c r="R77" s="1">
        <v>27</v>
      </c>
      <c r="S77" s="2" t="s">
        <v>28</v>
      </c>
      <c r="T77" s="2">
        <v>1</v>
      </c>
    </row>
    <row r="78" spans="1:20" x14ac:dyDescent="0.25">
      <c r="A78" s="1">
        <v>3076</v>
      </c>
      <c r="B78" s="1">
        <v>3075</v>
      </c>
      <c r="C78" s="2" t="s">
        <v>46</v>
      </c>
      <c r="D78" s="2" t="s">
        <v>19</v>
      </c>
      <c r="E78" s="2" t="s">
        <v>49</v>
      </c>
      <c r="F78" s="2" t="s">
        <v>58</v>
      </c>
      <c r="G78" s="2" t="s">
        <v>52</v>
      </c>
      <c r="H78" s="2" t="s">
        <v>62</v>
      </c>
      <c r="I78" s="1">
        <v>17</v>
      </c>
      <c r="J78" s="3">
        <v>46044</v>
      </c>
      <c r="K78" s="3">
        <v>46045</v>
      </c>
      <c r="L78" s="2" t="s">
        <v>25</v>
      </c>
      <c r="M78" s="2" t="s">
        <v>26</v>
      </c>
      <c r="N78" s="2" t="s">
        <v>54</v>
      </c>
      <c r="O78" s="2" t="s">
        <v>49</v>
      </c>
      <c r="P78" s="1">
        <v>3076</v>
      </c>
      <c r="Q78" s="2" t="s">
        <v>53</v>
      </c>
      <c r="R78" s="1">
        <v>22</v>
      </c>
      <c r="S78" s="2" t="s">
        <v>28</v>
      </c>
      <c r="T78" s="2">
        <v>1</v>
      </c>
    </row>
    <row r="79" spans="1:20" x14ac:dyDescent="0.25">
      <c r="A79" s="1">
        <v>3077</v>
      </c>
      <c r="B79" s="1">
        <v>3074</v>
      </c>
      <c r="C79" s="2" t="s">
        <v>20</v>
      </c>
      <c r="D79" s="2" t="s">
        <v>46</v>
      </c>
      <c r="E79" s="2" t="s">
        <v>42</v>
      </c>
      <c r="F79" s="2" t="s">
        <v>58</v>
      </c>
      <c r="G79" s="2" t="s">
        <v>48</v>
      </c>
      <c r="H79" s="2" t="s">
        <v>62</v>
      </c>
      <c r="I79" s="1">
        <v>20</v>
      </c>
      <c r="J79" s="3">
        <v>46049</v>
      </c>
      <c r="K79" s="3">
        <v>46050</v>
      </c>
      <c r="L79" s="2" t="s">
        <v>50</v>
      </c>
      <c r="M79" s="2" t="s">
        <v>26</v>
      </c>
      <c r="N79" s="2" t="s">
        <v>31</v>
      </c>
      <c r="O79" s="2" t="s">
        <v>42</v>
      </c>
      <c r="P79" s="1">
        <v>3077</v>
      </c>
      <c r="Q79" s="2" t="s">
        <v>51</v>
      </c>
      <c r="R79" s="1">
        <v>27</v>
      </c>
      <c r="S79" s="2" t="s">
        <v>28</v>
      </c>
      <c r="T79" s="2">
        <v>1</v>
      </c>
    </row>
    <row r="80" spans="1:20" x14ac:dyDescent="0.25">
      <c r="A80" s="1">
        <v>3078</v>
      </c>
      <c r="B80" s="1">
        <v>3077</v>
      </c>
      <c r="C80" s="2" t="s">
        <v>30</v>
      </c>
      <c r="D80" s="2" t="s">
        <v>30</v>
      </c>
      <c r="E80" s="2" t="s">
        <v>37</v>
      </c>
      <c r="F80" s="2" t="s">
        <v>58</v>
      </c>
      <c r="G80" s="2" t="s">
        <v>65</v>
      </c>
      <c r="H80" s="2" t="s">
        <v>24</v>
      </c>
      <c r="I80" s="1">
        <v>2</v>
      </c>
      <c r="J80" s="3">
        <v>46047</v>
      </c>
      <c r="K80" s="3">
        <v>46048</v>
      </c>
      <c r="L80" s="2" t="s">
        <v>44</v>
      </c>
      <c r="M80" s="2" t="s">
        <v>26</v>
      </c>
      <c r="N80" s="2" t="s">
        <v>31</v>
      </c>
      <c r="O80" s="2" t="s">
        <v>37</v>
      </c>
      <c r="P80" s="1">
        <v>3078</v>
      </c>
      <c r="Q80" s="2" t="s">
        <v>27</v>
      </c>
      <c r="R80" s="1">
        <v>25</v>
      </c>
      <c r="S80" s="2" t="s">
        <v>28</v>
      </c>
      <c r="T80" s="2">
        <v>1</v>
      </c>
    </row>
    <row r="81" spans="1:20" x14ac:dyDescent="0.25">
      <c r="A81" s="1">
        <v>3079</v>
      </c>
      <c r="B81" s="1">
        <v>3077</v>
      </c>
      <c r="C81" s="2" t="s">
        <v>20</v>
      </c>
      <c r="D81" s="2" t="s">
        <v>30</v>
      </c>
      <c r="E81" s="2" t="s">
        <v>64</v>
      </c>
      <c r="F81" s="2" t="s">
        <v>47</v>
      </c>
      <c r="G81" s="2" t="s">
        <v>67</v>
      </c>
      <c r="H81" s="2" t="s">
        <v>24</v>
      </c>
      <c r="I81" s="1">
        <v>5</v>
      </c>
      <c r="J81" s="3">
        <v>46047</v>
      </c>
      <c r="K81" s="3">
        <v>46049</v>
      </c>
      <c r="L81" s="2" t="s">
        <v>39</v>
      </c>
      <c r="M81" s="2" t="s">
        <v>26</v>
      </c>
      <c r="N81" s="2" t="s">
        <v>31</v>
      </c>
      <c r="O81" s="2" t="s">
        <v>64</v>
      </c>
      <c r="P81" s="1">
        <v>3079</v>
      </c>
      <c r="Q81" s="2" t="s">
        <v>27</v>
      </c>
      <c r="R81" s="1">
        <v>25</v>
      </c>
      <c r="S81" s="2" t="s">
        <v>28</v>
      </c>
      <c r="T81" s="2">
        <v>1</v>
      </c>
    </row>
    <row r="82" spans="1:20" x14ac:dyDescent="0.25">
      <c r="A82" s="1">
        <v>3080</v>
      </c>
      <c r="B82" s="1"/>
      <c r="C82" s="2" t="s">
        <v>30</v>
      </c>
      <c r="D82" s="2" t="s">
        <v>36</v>
      </c>
      <c r="E82" s="2" t="s">
        <v>23</v>
      </c>
      <c r="F82" s="2" t="s">
        <v>58</v>
      </c>
      <c r="G82" s="2" t="s">
        <v>23</v>
      </c>
      <c r="H82" s="2" t="s">
        <v>62</v>
      </c>
      <c r="I82" s="1">
        <v>22</v>
      </c>
      <c r="J82" s="3">
        <v>46047</v>
      </c>
      <c r="K82" s="3">
        <v>46048</v>
      </c>
      <c r="L82" s="2" t="s">
        <v>39</v>
      </c>
      <c r="M82" s="2" t="s">
        <v>26</v>
      </c>
      <c r="N82" s="2" t="s">
        <v>23</v>
      </c>
      <c r="O82" s="2" t="s">
        <v>23</v>
      </c>
      <c r="P82" s="1">
        <v>3080</v>
      </c>
      <c r="Q82" s="2" t="s">
        <v>27</v>
      </c>
      <c r="R82" s="1">
        <v>25</v>
      </c>
      <c r="S82" s="2" t="s">
        <v>28</v>
      </c>
      <c r="T82" s="2">
        <v>1</v>
      </c>
    </row>
    <row r="83" spans="1:20" x14ac:dyDescent="0.25">
      <c r="A83" s="1">
        <v>3081</v>
      </c>
      <c r="B83" s="1">
        <v>3079</v>
      </c>
      <c r="C83" s="2" t="s">
        <v>19</v>
      </c>
      <c r="D83" s="2" t="s">
        <v>20</v>
      </c>
      <c r="E83" s="2" t="s">
        <v>64</v>
      </c>
      <c r="F83" s="2" t="s">
        <v>22</v>
      </c>
      <c r="G83" s="2" t="s">
        <v>54</v>
      </c>
      <c r="H83" s="2" t="s">
        <v>38</v>
      </c>
      <c r="I83" s="1">
        <v>25</v>
      </c>
      <c r="J83" s="3">
        <v>46045</v>
      </c>
      <c r="K83" s="3">
        <v>46047</v>
      </c>
      <c r="L83" s="2" t="s">
        <v>44</v>
      </c>
      <c r="M83" s="2" t="s">
        <v>26</v>
      </c>
      <c r="N83" s="2" t="s">
        <v>31</v>
      </c>
      <c r="O83" s="2" t="s">
        <v>64</v>
      </c>
      <c r="P83" s="1">
        <v>3081</v>
      </c>
      <c r="Q83" s="2" t="s">
        <v>35</v>
      </c>
      <c r="R83" s="1">
        <v>23</v>
      </c>
      <c r="S83" s="2" t="s">
        <v>28</v>
      </c>
      <c r="T83" s="2">
        <v>1</v>
      </c>
    </row>
    <row r="84" spans="1:20" x14ac:dyDescent="0.25">
      <c r="A84" s="1">
        <v>3082</v>
      </c>
      <c r="B84" s="1">
        <v>3079</v>
      </c>
      <c r="C84" s="2" t="s">
        <v>29</v>
      </c>
      <c r="D84" s="2" t="s">
        <v>30</v>
      </c>
      <c r="E84" s="2" t="s">
        <v>23</v>
      </c>
      <c r="F84" s="2" t="s">
        <v>32</v>
      </c>
      <c r="G84" s="2" t="s">
        <v>67</v>
      </c>
      <c r="H84" s="2" t="s">
        <v>38</v>
      </c>
      <c r="I84" s="1">
        <v>28</v>
      </c>
      <c r="J84" s="3">
        <v>46045</v>
      </c>
      <c r="K84" s="3">
        <v>46045</v>
      </c>
      <c r="L84" s="2" t="s">
        <v>39</v>
      </c>
      <c r="M84" s="2" t="s">
        <v>26</v>
      </c>
      <c r="N84" s="2" t="s">
        <v>31</v>
      </c>
      <c r="O84" s="2" t="s">
        <v>23</v>
      </c>
      <c r="P84" s="1">
        <v>3082</v>
      </c>
      <c r="Q84" s="2" t="s">
        <v>35</v>
      </c>
      <c r="R84" s="1">
        <v>23</v>
      </c>
      <c r="S84" s="2" t="s">
        <v>28</v>
      </c>
      <c r="T84" s="2">
        <v>1</v>
      </c>
    </row>
    <row r="85" spans="1:20" x14ac:dyDescent="0.25">
      <c r="A85" s="1">
        <v>3083</v>
      </c>
      <c r="B85" s="1">
        <v>3082</v>
      </c>
      <c r="C85" s="2" t="s">
        <v>20</v>
      </c>
      <c r="D85" s="2" t="s">
        <v>30</v>
      </c>
      <c r="E85" s="2" t="s">
        <v>42</v>
      </c>
      <c r="F85" s="2" t="s">
        <v>22</v>
      </c>
      <c r="G85" s="2" t="s">
        <v>33</v>
      </c>
      <c r="H85" s="2" t="s">
        <v>24</v>
      </c>
      <c r="I85" s="1">
        <v>8</v>
      </c>
      <c r="J85" s="3">
        <v>46043</v>
      </c>
      <c r="K85" s="3">
        <v>46045</v>
      </c>
      <c r="L85" s="2" t="s">
        <v>44</v>
      </c>
      <c r="M85" s="2" t="s">
        <v>26</v>
      </c>
      <c r="N85" s="2" t="s">
        <v>31</v>
      </c>
      <c r="O85" s="2" t="s">
        <v>42</v>
      </c>
      <c r="P85" s="1">
        <v>3083</v>
      </c>
      <c r="Q85" s="2" t="s">
        <v>57</v>
      </c>
      <c r="R85" s="1">
        <v>21</v>
      </c>
      <c r="S85" s="2" t="s">
        <v>28</v>
      </c>
      <c r="T85" s="2">
        <v>1</v>
      </c>
    </row>
    <row r="86" spans="1:20" x14ac:dyDescent="0.25">
      <c r="A86" s="1">
        <v>3084</v>
      </c>
      <c r="B86" s="1">
        <v>3082</v>
      </c>
      <c r="C86" s="2" t="s">
        <v>20</v>
      </c>
      <c r="D86" s="2" t="s">
        <v>36</v>
      </c>
      <c r="E86" s="2" t="s">
        <v>37</v>
      </c>
      <c r="F86" s="2" t="s">
        <v>22</v>
      </c>
      <c r="G86" s="2" t="s">
        <v>23</v>
      </c>
      <c r="H86" s="2" t="s">
        <v>62</v>
      </c>
      <c r="I86" s="1">
        <v>19</v>
      </c>
      <c r="J86" s="3">
        <v>46048</v>
      </c>
      <c r="K86" s="3">
        <v>46049</v>
      </c>
      <c r="L86" s="2" t="s">
        <v>39</v>
      </c>
      <c r="M86" s="2" t="s">
        <v>26</v>
      </c>
      <c r="N86" s="2" t="s">
        <v>31</v>
      </c>
      <c r="O86" s="2" t="s">
        <v>37</v>
      </c>
      <c r="P86" s="1">
        <v>3084</v>
      </c>
      <c r="Q86" s="2" t="s">
        <v>60</v>
      </c>
      <c r="R86" s="1">
        <v>26</v>
      </c>
      <c r="S86" s="2" t="s">
        <v>28</v>
      </c>
      <c r="T86" s="2">
        <v>1</v>
      </c>
    </row>
    <row r="87" spans="1:20" x14ac:dyDescent="0.25">
      <c r="A87" s="1">
        <v>3085</v>
      </c>
      <c r="B87" s="1"/>
      <c r="C87" s="2" t="s">
        <v>20</v>
      </c>
      <c r="D87" s="2" t="s">
        <v>29</v>
      </c>
      <c r="E87" s="2" t="s">
        <v>37</v>
      </c>
      <c r="F87" s="2" t="s">
        <v>32</v>
      </c>
      <c r="G87" s="2" t="s">
        <v>59</v>
      </c>
      <c r="H87" s="2" t="s">
        <v>34</v>
      </c>
      <c r="I87" s="1">
        <v>13</v>
      </c>
      <c r="J87" s="3">
        <v>46044</v>
      </c>
      <c r="K87" s="3">
        <v>46045</v>
      </c>
      <c r="L87" s="2" t="s">
        <v>25</v>
      </c>
      <c r="M87" s="2" t="s">
        <v>26</v>
      </c>
      <c r="N87" s="2" t="s">
        <v>37</v>
      </c>
      <c r="O87" s="2" t="s">
        <v>37</v>
      </c>
      <c r="P87" s="1">
        <v>3085</v>
      </c>
      <c r="Q87" s="2" t="s">
        <v>53</v>
      </c>
      <c r="R87" s="1">
        <v>22</v>
      </c>
      <c r="S87" s="2" t="s">
        <v>28</v>
      </c>
      <c r="T87" s="2">
        <v>1</v>
      </c>
    </row>
    <row r="88" spans="1:20" x14ac:dyDescent="0.25">
      <c r="A88" s="1">
        <v>3086</v>
      </c>
      <c r="B88" s="1">
        <v>3084</v>
      </c>
      <c r="C88" s="2" t="s">
        <v>20</v>
      </c>
      <c r="D88" s="2" t="s">
        <v>19</v>
      </c>
      <c r="E88" s="2" t="s">
        <v>42</v>
      </c>
      <c r="F88" s="2" t="s">
        <v>22</v>
      </c>
      <c r="G88" s="2" t="s">
        <v>59</v>
      </c>
      <c r="H88" s="2" t="s">
        <v>34</v>
      </c>
      <c r="I88" s="1">
        <v>11</v>
      </c>
      <c r="J88" s="3">
        <v>46049</v>
      </c>
      <c r="K88" s="3">
        <v>46049</v>
      </c>
      <c r="L88" s="2" t="s">
        <v>25</v>
      </c>
      <c r="M88" s="2" t="s">
        <v>26</v>
      </c>
      <c r="N88" s="2" t="s">
        <v>31</v>
      </c>
      <c r="O88" s="2" t="s">
        <v>42</v>
      </c>
      <c r="P88" s="1">
        <v>3086</v>
      </c>
      <c r="Q88" s="2" t="s">
        <v>51</v>
      </c>
      <c r="R88" s="1">
        <v>27</v>
      </c>
      <c r="S88" s="2" t="s">
        <v>28</v>
      </c>
      <c r="T88" s="2">
        <v>1</v>
      </c>
    </row>
    <row r="89" spans="1:20" x14ac:dyDescent="0.25">
      <c r="A89" s="1">
        <v>3087</v>
      </c>
      <c r="B89" s="1">
        <v>3085</v>
      </c>
      <c r="C89" s="2" t="s">
        <v>19</v>
      </c>
      <c r="D89" s="2" t="s">
        <v>29</v>
      </c>
      <c r="E89" s="2" t="s">
        <v>49</v>
      </c>
      <c r="F89" s="2" t="s">
        <v>47</v>
      </c>
      <c r="G89" s="2" t="s">
        <v>37</v>
      </c>
      <c r="H89" s="2" t="s">
        <v>62</v>
      </c>
      <c r="I89" s="1">
        <v>17</v>
      </c>
      <c r="J89" s="3">
        <v>46048</v>
      </c>
      <c r="K89" s="3">
        <v>46048</v>
      </c>
      <c r="L89" s="2" t="s">
        <v>39</v>
      </c>
      <c r="M89" s="2" t="s">
        <v>26</v>
      </c>
      <c r="N89" s="2" t="s">
        <v>37</v>
      </c>
      <c r="O89" s="2" t="s">
        <v>49</v>
      </c>
      <c r="P89" s="1">
        <v>3087</v>
      </c>
      <c r="Q89" s="2" t="s">
        <v>60</v>
      </c>
      <c r="R89" s="1">
        <v>26</v>
      </c>
      <c r="S89" s="2" t="s">
        <v>28</v>
      </c>
      <c r="T89" s="2">
        <v>1</v>
      </c>
    </row>
    <row r="90" spans="1:20" x14ac:dyDescent="0.25">
      <c r="A90" s="1">
        <v>3088</v>
      </c>
      <c r="B90" s="1">
        <v>3087</v>
      </c>
      <c r="C90" s="2" t="s">
        <v>30</v>
      </c>
      <c r="D90" s="2" t="s">
        <v>29</v>
      </c>
      <c r="E90" s="2" t="s">
        <v>23</v>
      </c>
      <c r="F90" s="2" t="s">
        <v>58</v>
      </c>
      <c r="G90" s="2" t="s">
        <v>56</v>
      </c>
      <c r="H90" s="2" t="s">
        <v>55</v>
      </c>
      <c r="I90" s="1">
        <v>6</v>
      </c>
      <c r="J90" s="3">
        <v>46048</v>
      </c>
      <c r="K90" s="3">
        <v>46049</v>
      </c>
      <c r="L90" s="2" t="s">
        <v>50</v>
      </c>
      <c r="M90" s="2" t="s">
        <v>26</v>
      </c>
      <c r="N90" s="2" t="s">
        <v>37</v>
      </c>
      <c r="O90" s="2" t="s">
        <v>23</v>
      </c>
      <c r="P90" s="1">
        <v>3088</v>
      </c>
      <c r="Q90" s="2" t="s">
        <v>60</v>
      </c>
      <c r="R90" s="1">
        <v>26</v>
      </c>
      <c r="S90" s="2" t="s">
        <v>28</v>
      </c>
      <c r="T90" s="2">
        <v>1</v>
      </c>
    </row>
    <row r="91" spans="1:20" x14ac:dyDescent="0.25">
      <c r="A91" s="1">
        <v>3089</v>
      </c>
      <c r="B91" s="1">
        <v>3087</v>
      </c>
      <c r="C91" s="2" t="s">
        <v>46</v>
      </c>
      <c r="D91" s="2" t="s">
        <v>20</v>
      </c>
      <c r="E91" s="2" t="s">
        <v>23</v>
      </c>
      <c r="F91" s="2" t="s">
        <v>32</v>
      </c>
      <c r="G91" s="2" t="s">
        <v>41</v>
      </c>
      <c r="H91" s="2" t="s">
        <v>38</v>
      </c>
      <c r="I91" s="1">
        <v>27</v>
      </c>
      <c r="J91" s="3">
        <v>46050</v>
      </c>
      <c r="K91" s="3">
        <v>46052</v>
      </c>
      <c r="L91" s="2" t="s">
        <v>25</v>
      </c>
      <c r="M91" s="2" t="s">
        <v>26</v>
      </c>
      <c r="N91" s="2" t="s">
        <v>37</v>
      </c>
      <c r="O91" s="2" t="s">
        <v>23</v>
      </c>
      <c r="P91" s="1">
        <v>3089</v>
      </c>
      <c r="Q91" s="2" t="s">
        <v>57</v>
      </c>
      <c r="R91" s="1">
        <v>28</v>
      </c>
      <c r="S91" s="2" t="s">
        <v>28</v>
      </c>
      <c r="T91" s="2">
        <v>1</v>
      </c>
    </row>
    <row r="92" spans="1:20" x14ac:dyDescent="0.25">
      <c r="A92" s="1">
        <v>3090</v>
      </c>
      <c r="B92" s="1"/>
      <c r="C92" s="2" t="s">
        <v>36</v>
      </c>
      <c r="D92" s="2" t="s">
        <v>46</v>
      </c>
      <c r="E92" s="2" t="s">
        <v>37</v>
      </c>
      <c r="F92" s="2" t="s">
        <v>22</v>
      </c>
      <c r="G92" s="2" t="s">
        <v>33</v>
      </c>
      <c r="H92" s="2" t="s">
        <v>34</v>
      </c>
      <c r="I92" s="1">
        <v>13</v>
      </c>
      <c r="J92" s="3">
        <v>46047</v>
      </c>
      <c r="K92" s="3">
        <v>46048</v>
      </c>
      <c r="L92" s="2" t="s">
        <v>44</v>
      </c>
      <c r="M92" s="2" t="s">
        <v>26</v>
      </c>
      <c r="N92" s="2" t="s">
        <v>37</v>
      </c>
      <c r="O92" s="2" t="s">
        <v>37</v>
      </c>
      <c r="P92" s="1">
        <v>3090</v>
      </c>
      <c r="Q92" s="2" t="s">
        <v>27</v>
      </c>
      <c r="R92" s="1">
        <v>25</v>
      </c>
      <c r="S92" s="2" t="s">
        <v>28</v>
      </c>
      <c r="T92" s="2">
        <v>1</v>
      </c>
    </row>
    <row r="93" spans="1:20" x14ac:dyDescent="0.25">
      <c r="A93" s="1">
        <v>3091</v>
      </c>
      <c r="B93" s="1">
        <v>3090</v>
      </c>
      <c r="C93" s="2" t="s">
        <v>29</v>
      </c>
      <c r="D93" s="2" t="s">
        <v>29</v>
      </c>
      <c r="E93" s="2" t="s">
        <v>64</v>
      </c>
      <c r="F93" s="2" t="s">
        <v>47</v>
      </c>
      <c r="G93" s="2" t="s">
        <v>61</v>
      </c>
      <c r="H93" s="2" t="s">
        <v>24</v>
      </c>
      <c r="I93" s="1">
        <v>8</v>
      </c>
      <c r="J93" s="3">
        <v>46051</v>
      </c>
      <c r="K93" s="3">
        <v>46051</v>
      </c>
      <c r="L93" s="2" t="s">
        <v>25</v>
      </c>
      <c r="M93" s="2" t="s">
        <v>26</v>
      </c>
      <c r="N93" s="2" t="s">
        <v>37</v>
      </c>
      <c r="O93" s="2" t="s">
        <v>64</v>
      </c>
      <c r="P93" s="1">
        <v>3091</v>
      </c>
      <c r="Q93" s="2" t="s">
        <v>53</v>
      </c>
      <c r="R93" s="1">
        <v>29</v>
      </c>
      <c r="S93" s="2" t="s">
        <v>28</v>
      </c>
      <c r="T93" s="2">
        <v>1</v>
      </c>
    </row>
    <row r="94" spans="1:20" x14ac:dyDescent="0.25">
      <c r="A94" s="1">
        <v>3092</v>
      </c>
      <c r="B94" s="1">
        <v>3091</v>
      </c>
      <c r="C94" s="2" t="s">
        <v>46</v>
      </c>
      <c r="D94" s="2" t="s">
        <v>36</v>
      </c>
      <c r="E94" s="2" t="s">
        <v>23</v>
      </c>
      <c r="F94" s="2" t="s">
        <v>22</v>
      </c>
      <c r="G94" s="2" t="s">
        <v>66</v>
      </c>
      <c r="H94" s="2" t="s">
        <v>34</v>
      </c>
      <c r="I94" s="1">
        <v>9</v>
      </c>
      <c r="J94" s="3">
        <v>46050</v>
      </c>
      <c r="K94" s="3">
        <v>46050</v>
      </c>
      <c r="L94" s="2" t="s">
        <v>25</v>
      </c>
      <c r="M94" s="2" t="s">
        <v>26</v>
      </c>
      <c r="N94" s="2" t="s">
        <v>37</v>
      </c>
      <c r="O94" s="2" t="s">
        <v>23</v>
      </c>
      <c r="P94" s="1">
        <v>3092</v>
      </c>
      <c r="Q94" s="2" t="s">
        <v>57</v>
      </c>
      <c r="R94" s="1">
        <v>28</v>
      </c>
      <c r="S94" s="2" t="s">
        <v>28</v>
      </c>
      <c r="T94" s="2">
        <v>1</v>
      </c>
    </row>
    <row r="95" spans="1:20" x14ac:dyDescent="0.25">
      <c r="A95" s="1">
        <v>3093</v>
      </c>
      <c r="B95" s="1">
        <v>3092</v>
      </c>
      <c r="C95" s="2" t="s">
        <v>20</v>
      </c>
      <c r="D95" s="2" t="s">
        <v>29</v>
      </c>
      <c r="E95" s="2" t="s">
        <v>42</v>
      </c>
      <c r="F95" s="2" t="s">
        <v>32</v>
      </c>
      <c r="G95" s="2" t="s">
        <v>56</v>
      </c>
      <c r="H95" s="2" t="s">
        <v>38</v>
      </c>
      <c r="I95" s="1">
        <v>24</v>
      </c>
      <c r="J95" s="3">
        <v>46046</v>
      </c>
      <c r="K95" s="3">
        <v>46047</v>
      </c>
      <c r="L95" s="2" t="s">
        <v>44</v>
      </c>
      <c r="M95" s="2" t="s">
        <v>26</v>
      </c>
      <c r="N95" s="2" t="s">
        <v>37</v>
      </c>
      <c r="O95" s="2" t="s">
        <v>42</v>
      </c>
      <c r="P95" s="1">
        <v>3093</v>
      </c>
      <c r="Q95" s="2" t="s">
        <v>45</v>
      </c>
      <c r="R95" s="1">
        <v>24</v>
      </c>
      <c r="S95" s="2" t="s">
        <v>28</v>
      </c>
      <c r="T95" s="2">
        <v>1</v>
      </c>
    </row>
    <row r="96" spans="1:20" x14ac:dyDescent="0.25">
      <c r="A96" s="1">
        <v>3094</v>
      </c>
      <c r="B96" s="1">
        <v>3093</v>
      </c>
      <c r="C96" s="2" t="s">
        <v>36</v>
      </c>
      <c r="D96" s="2" t="s">
        <v>46</v>
      </c>
      <c r="E96" s="2" t="s">
        <v>54</v>
      </c>
      <c r="F96" s="2" t="s">
        <v>47</v>
      </c>
      <c r="G96" s="2" t="s">
        <v>67</v>
      </c>
      <c r="H96" s="2" t="s">
        <v>24</v>
      </c>
      <c r="I96" s="1">
        <v>7</v>
      </c>
      <c r="J96" s="3">
        <v>46049</v>
      </c>
      <c r="K96" s="3">
        <v>46051</v>
      </c>
      <c r="L96" s="2" t="s">
        <v>44</v>
      </c>
      <c r="M96" s="2" t="s">
        <v>26</v>
      </c>
      <c r="N96" s="2" t="s">
        <v>37</v>
      </c>
      <c r="O96" s="2" t="s">
        <v>54</v>
      </c>
      <c r="P96" s="1">
        <v>3094</v>
      </c>
      <c r="Q96" s="2" t="s">
        <v>51</v>
      </c>
      <c r="R96" s="1">
        <v>27</v>
      </c>
      <c r="S96" s="2" t="s">
        <v>28</v>
      </c>
      <c r="T96" s="2">
        <v>1</v>
      </c>
    </row>
    <row r="97" spans="1:20" x14ac:dyDescent="0.25">
      <c r="A97" s="1">
        <v>3095</v>
      </c>
      <c r="B97" s="1"/>
      <c r="C97" s="2" t="s">
        <v>20</v>
      </c>
      <c r="D97" s="2" t="s">
        <v>46</v>
      </c>
      <c r="E97" s="2" t="s">
        <v>31</v>
      </c>
      <c r="F97" s="2" t="s">
        <v>22</v>
      </c>
      <c r="G97" s="2" t="s">
        <v>43</v>
      </c>
      <c r="H97" s="2" t="s">
        <v>38</v>
      </c>
      <c r="I97" s="1">
        <v>28</v>
      </c>
      <c r="J97" s="3">
        <v>46047</v>
      </c>
      <c r="K97" s="3">
        <v>46048</v>
      </c>
      <c r="L97" s="2" t="s">
        <v>39</v>
      </c>
      <c r="M97" s="2" t="s">
        <v>26</v>
      </c>
      <c r="N97" s="2" t="s">
        <v>31</v>
      </c>
      <c r="O97" s="2" t="s">
        <v>31</v>
      </c>
      <c r="P97" s="1">
        <v>3095</v>
      </c>
      <c r="Q97" s="2" t="s">
        <v>27</v>
      </c>
      <c r="R97" s="1">
        <v>25</v>
      </c>
      <c r="S97" s="2" t="s">
        <v>28</v>
      </c>
      <c r="T97" s="2">
        <v>1</v>
      </c>
    </row>
    <row r="98" spans="1:20" x14ac:dyDescent="0.25">
      <c r="A98" s="1">
        <v>3096</v>
      </c>
      <c r="B98" s="1">
        <v>3095</v>
      </c>
      <c r="C98" s="2" t="s">
        <v>30</v>
      </c>
      <c r="D98" s="2" t="s">
        <v>36</v>
      </c>
      <c r="E98" s="2" t="s">
        <v>31</v>
      </c>
      <c r="F98" s="2" t="s">
        <v>47</v>
      </c>
      <c r="G98" s="2" t="s">
        <v>56</v>
      </c>
      <c r="H98" s="2" t="s">
        <v>62</v>
      </c>
      <c r="I98" s="1">
        <v>21</v>
      </c>
      <c r="J98" s="3">
        <v>46044</v>
      </c>
      <c r="K98" s="3">
        <v>46045</v>
      </c>
      <c r="L98" s="2" t="s">
        <v>25</v>
      </c>
      <c r="M98" s="2" t="s">
        <v>26</v>
      </c>
      <c r="N98" s="2" t="s">
        <v>31</v>
      </c>
      <c r="O98" s="2" t="s">
        <v>31</v>
      </c>
      <c r="P98" s="1">
        <v>3096</v>
      </c>
      <c r="Q98" s="2" t="s">
        <v>53</v>
      </c>
      <c r="R98" s="1">
        <v>22</v>
      </c>
      <c r="S98" s="2" t="s">
        <v>28</v>
      </c>
      <c r="T98" s="2">
        <v>1</v>
      </c>
    </row>
    <row r="99" spans="1:20" x14ac:dyDescent="0.25">
      <c r="A99" s="1">
        <v>3097</v>
      </c>
      <c r="B99" s="1">
        <v>3095</v>
      </c>
      <c r="C99" s="2" t="s">
        <v>29</v>
      </c>
      <c r="D99" s="2" t="s">
        <v>30</v>
      </c>
      <c r="E99" s="2" t="s">
        <v>42</v>
      </c>
      <c r="F99" s="2" t="s">
        <v>47</v>
      </c>
      <c r="G99" s="2" t="s">
        <v>41</v>
      </c>
      <c r="H99" s="2" t="s">
        <v>24</v>
      </c>
      <c r="I99" s="1">
        <v>8</v>
      </c>
      <c r="J99" s="3">
        <v>46044</v>
      </c>
      <c r="K99" s="3">
        <v>46045</v>
      </c>
      <c r="L99" s="2" t="s">
        <v>44</v>
      </c>
      <c r="M99" s="2" t="s">
        <v>26</v>
      </c>
      <c r="N99" s="2" t="s">
        <v>31</v>
      </c>
      <c r="O99" s="2" t="s">
        <v>42</v>
      </c>
      <c r="P99" s="1">
        <v>3097</v>
      </c>
      <c r="Q99" s="2" t="s">
        <v>53</v>
      </c>
      <c r="R99" s="1">
        <v>22</v>
      </c>
      <c r="S99" s="2" t="s">
        <v>28</v>
      </c>
      <c r="T99" s="2">
        <v>1</v>
      </c>
    </row>
    <row r="100" spans="1:20" x14ac:dyDescent="0.25">
      <c r="A100" s="1">
        <v>3098</v>
      </c>
      <c r="B100" s="1">
        <v>3096</v>
      </c>
      <c r="C100" s="2" t="s">
        <v>46</v>
      </c>
      <c r="D100" s="2" t="s">
        <v>46</v>
      </c>
      <c r="E100" s="2" t="s">
        <v>31</v>
      </c>
      <c r="F100" s="2" t="s">
        <v>22</v>
      </c>
      <c r="G100" s="2" t="s">
        <v>43</v>
      </c>
      <c r="H100" s="2" t="s">
        <v>34</v>
      </c>
      <c r="I100" s="1">
        <v>8</v>
      </c>
      <c r="J100" s="3">
        <v>46047</v>
      </c>
      <c r="K100" s="3">
        <v>46047</v>
      </c>
      <c r="L100" s="2" t="s">
        <v>44</v>
      </c>
      <c r="M100" s="2" t="s">
        <v>26</v>
      </c>
      <c r="N100" s="2" t="s">
        <v>31</v>
      </c>
      <c r="O100" s="2" t="s">
        <v>31</v>
      </c>
      <c r="P100" s="1">
        <v>3098</v>
      </c>
      <c r="Q100" s="2" t="s">
        <v>27</v>
      </c>
      <c r="R100" s="1">
        <v>25</v>
      </c>
      <c r="S100" s="2" t="s">
        <v>28</v>
      </c>
      <c r="T100" s="2">
        <v>1</v>
      </c>
    </row>
    <row r="101" spans="1:20" x14ac:dyDescent="0.25">
      <c r="A101" s="1">
        <v>3099</v>
      </c>
      <c r="B101" s="1">
        <v>3096</v>
      </c>
      <c r="C101" s="2" t="s">
        <v>30</v>
      </c>
      <c r="D101" s="2" t="s">
        <v>20</v>
      </c>
      <c r="E101" s="2" t="s">
        <v>49</v>
      </c>
      <c r="F101" s="2" t="s">
        <v>47</v>
      </c>
      <c r="G101" s="2" t="s">
        <v>67</v>
      </c>
      <c r="H101" s="2" t="s">
        <v>38</v>
      </c>
      <c r="I101" s="1">
        <v>24</v>
      </c>
      <c r="J101" s="3">
        <v>46048</v>
      </c>
      <c r="K101" s="3">
        <v>46050</v>
      </c>
      <c r="L101" s="2" t="s">
        <v>39</v>
      </c>
      <c r="M101" s="2" t="s">
        <v>26</v>
      </c>
      <c r="N101" s="2" t="s">
        <v>31</v>
      </c>
      <c r="O101" s="2" t="s">
        <v>49</v>
      </c>
      <c r="P101" s="1">
        <v>3099</v>
      </c>
      <c r="Q101" s="2" t="s">
        <v>60</v>
      </c>
      <c r="R101" s="1">
        <v>26</v>
      </c>
      <c r="S101" s="2" t="s">
        <v>28</v>
      </c>
      <c r="T101" s="2">
        <v>1</v>
      </c>
    </row>
    <row r="102" spans="1:20" x14ac:dyDescent="0.25">
      <c r="A102" s="1">
        <v>3100</v>
      </c>
      <c r="B102" s="1"/>
      <c r="C102" s="2" t="s">
        <v>46</v>
      </c>
      <c r="D102" s="2" t="s">
        <v>20</v>
      </c>
      <c r="E102" s="2" t="s">
        <v>54</v>
      </c>
      <c r="F102" s="2" t="s">
        <v>32</v>
      </c>
      <c r="G102" s="2" t="s">
        <v>43</v>
      </c>
      <c r="H102" s="2" t="s">
        <v>62</v>
      </c>
      <c r="I102" s="1">
        <v>16</v>
      </c>
      <c r="J102" s="3">
        <v>46049</v>
      </c>
      <c r="K102" s="3">
        <v>46050</v>
      </c>
      <c r="L102" s="2" t="s">
        <v>44</v>
      </c>
      <c r="M102" s="2" t="s">
        <v>26</v>
      </c>
      <c r="N102" s="2" t="s">
        <v>54</v>
      </c>
      <c r="O102" s="2" t="s">
        <v>54</v>
      </c>
      <c r="P102" s="1">
        <v>3100</v>
      </c>
      <c r="Q102" s="2" t="s">
        <v>51</v>
      </c>
      <c r="R102" s="1">
        <v>27</v>
      </c>
      <c r="S102" s="2" t="s">
        <v>28</v>
      </c>
      <c r="T102" s="2">
        <v>1</v>
      </c>
    </row>
    <row r="103" spans="1:20" x14ac:dyDescent="0.25">
      <c r="A103" s="1">
        <v>3101</v>
      </c>
      <c r="B103" s="1">
        <v>3098</v>
      </c>
      <c r="C103" s="2" t="s">
        <v>30</v>
      </c>
      <c r="D103" s="2" t="s">
        <v>46</v>
      </c>
      <c r="E103" s="2" t="s">
        <v>37</v>
      </c>
      <c r="F103" s="2" t="s">
        <v>58</v>
      </c>
      <c r="G103" s="2" t="s">
        <v>48</v>
      </c>
      <c r="H103" s="2" t="s">
        <v>62</v>
      </c>
      <c r="I103" s="1">
        <v>16</v>
      </c>
      <c r="J103" s="3">
        <v>46046</v>
      </c>
      <c r="K103" s="3">
        <v>46047</v>
      </c>
      <c r="L103" s="2" t="s">
        <v>25</v>
      </c>
      <c r="M103" s="2" t="s">
        <v>26</v>
      </c>
      <c r="N103" s="2" t="s">
        <v>31</v>
      </c>
      <c r="O103" s="2" t="s">
        <v>37</v>
      </c>
      <c r="P103" s="1">
        <v>3101</v>
      </c>
      <c r="Q103" s="2" t="s">
        <v>45</v>
      </c>
      <c r="R103" s="1">
        <v>24</v>
      </c>
      <c r="S103" s="2" t="s">
        <v>28</v>
      </c>
      <c r="T103" s="2">
        <v>1</v>
      </c>
    </row>
    <row r="104" spans="1:20" x14ac:dyDescent="0.25">
      <c r="A104" s="1">
        <v>3102</v>
      </c>
      <c r="B104" s="1">
        <v>3099</v>
      </c>
      <c r="C104" s="2" t="s">
        <v>29</v>
      </c>
      <c r="D104" s="2" t="s">
        <v>29</v>
      </c>
      <c r="E104" s="2" t="s">
        <v>31</v>
      </c>
      <c r="F104" s="2" t="s">
        <v>47</v>
      </c>
      <c r="G104" s="2" t="s">
        <v>61</v>
      </c>
      <c r="H104" s="2" t="s">
        <v>55</v>
      </c>
      <c r="I104" s="1">
        <v>10</v>
      </c>
      <c r="J104" s="3">
        <v>46043</v>
      </c>
      <c r="K104" s="3">
        <v>46044</v>
      </c>
      <c r="L104" s="2" t="s">
        <v>50</v>
      </c>
      <c r="M104" s="2" t="s">
        <v>26</v>
      </c>
      <c r="N104" s="2" t="s">
        <v>31</v>
      </c>
      <c r="O104" s="2" t="s">
        <v>31</v>
      </c>
      <c r="P104" s="1">
        <v>3102</v>
      </c>
      <c r="Q104" s="2" t="s">
        <v>57</v>
      </c>
      <c r="R104" s="1">
        <v>21</v>
      </c>
      <c r="S104" s="2" t="s">
        <v>28</v>
      </c>
      <c r="T104" s="2">
        <v>1</v>
      </c>
    </row>
    <row r="105" spans="1:20" x14ac:dyDescent="0.25">
      <c r="A105" s="1">
        <v>3103</v>
      </c>
      <c r="B105" s="1">
        <v>3101</v>
      </c>
      <c r="C105" s="2" t="s">
        <v>29</v>
      </c>
      <c r="D105" s="2" t="s">
        <v>36</v>
      </c>
      <c r="E105" s="2" t="s">
        <v>42</v>
      </c>
      <c r="F105" s="2" t="s">
        <v>22</v>
      </c>
      <c r="G105" s="2" t="s">
        <v>23</v>
      </c>
      <c r="H105" s="2" t="s">
        <v>62</v>
      </c>
      <c r="I105" s="1">
        <v>17</v>
      </c>
      <c r="J105" s="3">
        <v>46047</v>
      </c>
      <c r="K105" s="3">
        <v>46048</v>
      </c>
      <c r="L105" s="2" t="s">
        <v>25</v>
      </c>
      <c r="M105" s="2" t="s">
        <v>26</v>
      </c>
      <c r="N105" s="2" t="s">
        <v>31</v>
      </c>
      <c r="O105" s="2" t="s">
        <v>42</v>
      </c>
      <c r="P105" s="1">
        <v>3103</v>
      </c>
      <c r="Q105" s="2" t="s">
        <v>27</v>
      </c>
      <c r="R105" s="1">
        <v>25</v>
      </c>
      <c r="S105" s="2" t="s">
        <v>28</v>
      </c>
      <c r="T105" s="2">
        <v>1</v>
      </c>
    </row>
    <row r="106" spans="1:20" x14ac:dyDescent="0.25">
      <c r="A106" s="1">
        <v>3104</v>
      </c>
      <c r="B106" s="1">
        <v>3103</v>
      </c>
      <c r="C106" s="2" t="s">
        <v>19</v>
      </c>
      <c r="D106" s="2" t="s">
        <v>36</v>
      </c>
      <c r="E106" s="2" t="s">
        <v>42</v>
      </c>
      <c r="F106" s="2" t="s">
        <v>32</v>
      </c>
      <c r="G106" s="2" t="s">
        <v>61</v>
      </c>
      <c r="H106" s="2" t="s">
        <v>34</v>
      </c>
      <c r="I106" s="1">
        <v>9</v>
      </c>
      <c r="J106" s="3">
        <v>46050</v>
      </c>
      <c r="K106" s="3">
        <v>46051</v>
      </c>
      <c r="L106" s="2" t="s">
        <v>50</v>
      </c>
      <c r="M106" s="2" t="s">
        <v>26</v>
      </c>
      <c r="N106" s="2" t="s">
        <v>31</v>
      </c>
      <c r="O106" s="2" t="s">
        <v>42</v>
      </c>
      <c r="P106" s="1">
        <v>3104</v>
      </c>
      <c r="Q106" s="2" t="s">
        <v>57</v>
      </c>
      <c r="R106" s="1">
        <v>28</v>
      </c>
      <c r="S106" s="2" t="s">
        <v>28</v>
      </c>
      <c r="T106" s="2">
        <v>1</v>
      </c>
    </row>
    <row r="107" spans="1:20" x14ac:dyDescent="0.25">
      <c r="A107" s="1">
        <v>3105</v>
      </c>
      <c r="B107" s="1"/>
      <c r="C107" s="2" t="s">
        <v>30</v>
      </c>
      <c r="D107" s="2" t="s">
        <v>36</v>
      </c>
      <c r="E107" s="2" t="s">
        <v>49</v>
      </c>
      <c r="F107" s="2" t="s">
        <v>58</v>
      </c>
      <c r="G107" s="2" t="s">
        <v>66</v>
      </c>
      <c r="H107" s="2" t="s">
        <v>62</v>
      </c>
      <c r="I107" s="1">
        <v>18</v>
      </c>
      <c r="J107" s="3">
        <v>46048</v>
      </c>
      <c r="K107" s="3">
        <v>46049</v>
      </c>
      <c r="L107" s="2" t="s">
        <v>39</v>
      </c>
      <c r="M107" s="2" t="s">
        <v>26</v>
      </c>
      <c r="N107" s="2" t="s">
        <v>49</v>
      </c>
      <c r="O107" s="2" t="s">
        <v>49</v>
      </c>
      <c r="P107" s="1">
        <v>3105</v>
      </c>
      <c r="Q107" s="2" t="s">
        <v>60</v>
      </c>
      <c r="R107" s="1">
        <v>26</v>
      </c>
      <c r="S107" s="2" t="s">
        <v>28</v>
      </c>
      <c r="T107" s="2">
        <v>1</v>
      </c>
    </row>
    <row r="108" spans="1:20" x14ac:dyDescent="0.25">
      <c r="A108" s="1">
        <v>3106</v>
      </c>
      <c r="B108" s="1">
        <v>3105</v>
      </c>
      <c r="C108" s="2" t="s">
        <v>30</v>
      </c>
      <c r="D108" s="2" t="s">
        <v>36</v>
      </c>
      <c r="E108" s="2" t="s">
        <v>31</v>
      </c>
      <c r="F108" s="2" t="s">
        <v>58</v>
      </c>
      <c r="G108" s="2" t="s">
        <v>56</v>
      </c>
      <c r="H108" s="2" t="s">
        <v>24</v>
      </c>
      <c r="I108" s="1">
        <v>7</v>
      </c>
      <c r="J108" s="3">
        <v>46043</v>
      </c>
      <c r="K108" s="3">
        <v>46044</v>
      </c>
      <c r="L108" s="2" t="s">
        <v>50</v>
      </c>
      <c r="M108" s="2" t="s">
        <v>26</v>
      </c>
      <c r="N108" s="2" t="s">
        <v>49</v>
      </c>
      <c r="O108" s="2" t="s">
        <v>31</v>
      </c>
      <c r="P108" s="1">
        <v>3106</v>
      </c>
      <c r="Q108" s="2" t="s">
        <v>57</v>
      </c>
      <c r="R108" s="1">
        <v>21</v>
      </c>
      <c r="S108" s="2" t="s">
        <v>28</v>
      </c>
      <c r="T108" s="2">
        <v>1</v>
      </c>
    </row>
    <row r="109" spans="1:20" x14ac:dyDescent="0.25">
      <c r="A109" s="1">
        <v>3107</v>
      </c>
      <c r="B109" s="1">
        <v>3104</v>
      </c>
      <c r="C109" s="2" t="s">
        <v>19</v>
      </c>
      <c r="D109" s="2" t="s">
        <v>19</v>
      </c>
      <c r="E109" s="2" t="s">
        <v>54</v>
      </c>
      <c r="F109" s="2" t="s">
        <v>22</v>
      </c>
      <c r="G109" s="2" t="s">
        <v>48</v>
      </c>
      <c r="H109" s="2" t="s">
        <v>24</v>
      </c>
      <c r="I109" s="1">
        <v>5</v>
      </c>
      <c r="J109" s="3">
        <v>46046</v>
      </c>
      <c r="K109" s="3">
        <v>46047</v>
      </c>
      <c r="L109" s="2" t="s">
        <v>39</v>
      </c>
      <c r="M109" s="2" t="s">
        <v>26</v>
      </c>
      <c r="N109" s="2" t="s">
        <v>31</v>
      </c>
      <c r="O109" s="2" t="s">
        <v>54</v>
      </c>
      <c r="P109" s="1">
        <v>3107</v>
      </c>
      <c r="Q109" s="2" t="s">
        <v>45</v>
      </c>
      <c r="R109" s="1">
        <v>24</v>
      </c>
      <c r="S109" s="2" t="s">
        <v>28</v>
      </c>
      <c r="T109" s="2">
        <v>1</v>
      </c>
    </row>
    <row r="110" spans="1:20" x14ac:dyDescent="0.25">
      <c r="A110" s="1">
        <v>3108</v>
      </c>
      <c r="B110" s="1">
        <v>3106</v>
      </c>
      <c r="C110" s="2" t="s">
        <v>30</v>
      </c>
      <c r="D110" s="2" t="s">
        <v>29</v>
      </c>
      <c r="E110" s="2" t="s">
        <v>42</v>
      </c>
      <c r="F110" s="2" t="s">
        <v>22</v>
      </c>
      <c r="G110" s="2" t="s">
        <v>54</v>
      </c>
      <c r="H110" s="2" t="s">
        <v>24</v>
      </c>
      <c r="I110" s="1">
        <v>4</v>
      </c>
      <c r="J110" s="3">
        <v>46045</v>
      </c>
      <c r="K110" s="3">
        <v>46047</v>
      </c>
      <c r="L110" s="2" t="s">
        <v>50</v>
      </c>
      <c r="M110" s="2" t="s">
        <v>26</v>
      </c>
      <c r="N110" s="2" t="s">
        <v>49</v>
      </c>
      <c r="O110" s="2" t="s">
        <v>42</v>
      </c>
      <c r="P110" s="1">
        <v>3108</v>
      </c>
      <c r="Q110" s="2" t="s">
        <v>35</v>
      </c>
      <c r="R110" s="1">
        <v>23</v>
      </c>
      <c r="S110" s="2" t="s">
        <v>28</v>
      </c>
      <c r="T110" s="2">
        <v>1</v>
      </c>
    </row>
    <row r="111" spans="1:20" x14ac:dyDescent="0.25">
      <c r="A111" s="1">
        <v>3109</v>
      </c>
      <c r="B111" s="1">
        <v>3106</v>
      </c>
      <c r="C111" s="2" t="s">
        <v>30</v>
      </c>
      <c r="D111" s="2" t="s">
        <v>19</v>
      </c>
      <c r="E111" s="2" t="s">
        <v>54</v>
      </c>
      <c r="F111" s="2" t="s">
        <v>22</v>
      </c>
      <c r="G111" s="2" t="s">
        <v>33</v>
      </c>
      <c r="H111" s="2" t="s">
        <v>24</v>
      </c>
      <c r="I111" s="1">
        <v>5</v>
      </c>
      <c r="J111" s="3">
        <v>46047</v>
      </c>
      <c r="K111" s="3">
        <v>46049</v>
      </c>
      <c r="L111" s="2" t="s">
        <v>50</v>
      </c>
      <c r="M111" s="2" t="s">
        <v>26</v>
      </c>
      <c r="N111" s="2" t="s">
        <v>49</v>
      </c>
      <c r="O111" s="2" t="s">
        <v>54</v>
      </c>
      <c r="P111" s="1">
        <v>3109</v>
      </c>
      <c r="Q111" s="2" t="s">
        <v>27</v>
      </c>
      <c r="R111" s="1">
        <v>25</v>
      </c>
      <c r="S111" s="2" t="s">
        <v>28</v>
      </c>
      <c r="T111" s="2">
        <v>1</v>
      </c>
    </row>
    <row r="112" spans="1:20" x14ac:dyDescent="0.25">
      <c r="A112" s="1">
        <v>3110</v>
      </c>
      <c r="B112" s="1"/>
      <c r="C112" s="2" t="s">
        <v>29</v>
      </c>
      <c r="D112" s="2" t="s">
        <v>20</v>
      </c>
      <c r="E112" s="2" t="s">
        <v>23</v>
      </c>
      <c r="F112" s="2" t="s">
        <v>47</v>
      </c>
      <c r="G112" s="2" t="s">
        <v>65</v>
      </c>
      <c r="H112" s="2" t="s">
        <v>55</v>
      </c>
      <c r="I112" s="1">
        <v>8</v>
      </c>
      <c r="J112" s="3">
        <v>46049</v>
      </c>
      <c r="K112" s="3">
        <v>46050</v>
      </c>
      <c r="L112" s="2" t="s">
        <v>39</v>
      </c>
      <c r="M112" s="2" t="s">
        <v>26</v>
      </c>
      <c r="N112" s="2" t="s">
        <v>23</v>
      </c>
      <c r="O112" s="2" t="s">
        <v>23</v>
      </c>
      <c r="P112" s="1">
        <v>3110</v>
      </c>
      <c r="Q112" s="2" t="s">
        <v>51</v>
      </c>
      <c r="R112" s="1">
        <v>27</v>
      </c>
      <c r="S112" s="2" t="s">
        <v>28</v>
      </c>
      <c r="T112" s="2">
        <v>1</v>
      </c>
    </row>
    <row r="113" spans="1:20" x14ac:dyDescent="0.25">
      <c r="A113" s="1">
        <v>3111</v>
      </c>
      <c r="B113" s="1">
        <v>3110</v>
      </c>
      <c r="C113" s="2" t="s">
        <v>36</v>
      </c>
      <c r="D113" s="2" t="s">
        <v>30</v>
      </c>
      <c r="E113" s="2" t="s">
        <v>42</v>
      </c>
      <c r="F113" s="2" t="s">
        <v>47</v>
      </c>
      <c r="G113" s="2" t="s">
        <v>56</v>
      </c>
      <c r="H113" s="2" t="s">
        <v>24</v>
      </c>
      <c r="I113" s="1">
        <v>6</v>
      </c>
      <c r="J113" s="3">
        <v>46047</v>
      </c>
      <c r="K113" s="3">
        <v>46047</v>
      </c>
      <c r="L113" s="2" t="s">
        <v>50</v>
      </c>
      <c r="M113" s="2" t="s">
        <v>26</v>
      </c>
      <c r="N113" s="2" t="s">
        <v>23</v>
      </c>
      <c r="O113" s="2" t="s">
        <v>42</v>
      </c>
      <c r="P113" s="1">
        <v>3111</v>
      </c>
      <c r="Q113" s="2" t="s">
        <v>27</v>
      </c>
      <c r="R113" s="1">
        <v>25</v>
      </c>
      <c r="S113" s="2" t="s">
        <v>28</v>
      </c>
      <c r="T113" s="2">
        <v>1</v>
      </c>
    </row>
    <row r="114" spans="1:20" x14ac:dyDescent="0.25">
      <c r="A114" s="1">
        <v>3112</v>
      </c>
      <c r="B114" s="1">
        <v>3109</v>
      </c>
      <c r="C114" s="2" t="s">
        <v>46</v>
      </c>
      <c r="D114" s="2" t="s">
        <v>29</v>
      </c>
      <c r="E114" s="2" t="s">
        <v>42</v>
      </c>
      <c r="F114" s="2" t="s">
        <v>32</v>
      </c>
      <c r="G114" s="2" t="s">
        <v>33</v>
      </c>
      <c r="H114" s="2" t="s">
        <v>55</v>
      </c>
      <c r="I114" s="1">
        <v>4</v>
      </c>
      <c r="J114" s="3">
        <v>46047</v>
      </c>
      <c r="K114" s="3">
        <v>46048</v>
      </c>
      <c r="L114" s="2" t="s">
        <v>50</v>
      </c>
      <c r="M114" s="2" t="s">
        <v>26</v>
      </c>
      <c r="N114" s="2" t="s">
        <v>49</v>
      </c>
      <c r="O114" s="2" t="s">
        <v>42</v>
      </c>
      <c r="P114" s="1">
        <v>3112</v>
      </c>
      <c r="Q114" s="2" t="s">
        <v>27</v>
      </c>
      <c r="R114" s="1">
        <v>25</v>
      </c>
      <c r="S114" s="2" t="s">
        <v>28</v>
      </c>
      <c r="T114" s="2">
        <v>1</v>
      </c>
    </row>
    <row r="115" spans="1:20" x14ac:dyDescent="0.25">
      <c r="A115" s="1">
        <v>3113</v>
      </c>
      <c r="B115" s="1">
        <v>3112</v>
      </c>
      <c r="C115" s="2" t="s">
        <v>30</v>
      </c>
      <c r="D115" s="2" t="s">
        <v>30</v>
      </c>
      <c r="E115" s="2" t="s">
        <v>64</v>
      </c>
      <c r="F115" s="2" t="s">
        <v>58</v>
      </c>
      <c r="G115" s="2" t="s">
        <v>67</v>
      </c>
      <c r="H115" s="2" t="s">
        <v>55</v>
      </c>
      <c r="I115" s="1">
        <v>7</v>
      </c>
      <c r="J115" s="3">
        <v>46043</v>
      </c>
      <c r="K115" s="3">
        <v>46044</v>
      </c>
      <c r="L115" s="2" t="s">
        <v>44</v>
      </c>
      <c r="M115" s="2" t="s">
        <v>26</v>
      </c>
      <c r="N115" s="2" t="s">
        <v>49</v>
      </c>
      <c r="O115" s="2" t="s">
        <v>64</v>
      </c>
      <c r="P115" s="1">
        <v>3113</v>
      </c>
      <c r="Q115" s="2" t="s">
        <v>57</v>
      </c>
      <c r="R115" s="1">
        <v>21</v>
      </c>
      <c r="S115" s="2" t="s">
        <v>28</v>
      </c>
      <c r="T115" s="2">
        <v>1</v>
      </c>
    </row>
    <row r="116" spans="1:20" x14ac:dyDescent="0.25">
      <c r="A116" s="1">
        <v>3114</v>
      </c>
      <c r="B116" s="1">
        <v>3113</v>
      </c>
      <c r="C116" s="2" t="s">
        <v>46</v>
      </c>
      <c r="D116" s="2" t="s">
        <v>19</v>
      </c>
      <c r="E116" s="2" t="s">
        <v>49</v>
      </c>
      <c r="F116" s="2" t="s">
        <v>58</v>
      </c>
      <c r="G116" s="2" t="s">
        <v>56</v>
      </c>
      <c r="H116" s="2" t="s">
        <v>34</v>
      </c>
      <c r="I116" s="1">
        <v>13</v>
      </c>
      <c r="J116" s="3">
        <v>46046</v>
      </c>
      <c r="K116" s="3">
        <v>46048</v>
      </c>
      <c r="L116" s="2" t="s">
        <v>39</v>
      </c>
      <c r="M116" s="2" t="s">
        <v>26</v>
      </c>
      <c r="N116" s="2" t="s">
        <v>49</v>
      </c>
      <c r="O116" s="2" t="s">
        <v>49</v>
      </c>
      <c r="P116" s="1">
        <v>3114</v>
      </c>
      <c r="Q116" s="2" t="s">
        <v>45</v>
      </c>
      <c r="R116" s="1">
        <v>24</v>
      </c>
      <c r="S116" s="2" t="s">
        <v>28</v>
      </c>
      <c r="T116" s="2">
        <v>1</v>
      </c>
    </row>
    <row r="117" spans="1:20" x14ac:dyDescent="0.25">
      <c r="A117" s="1">
        <v>3115</v>
      </c>
      <c r="B117" s="1"/>
      <c r="C117" s="2" t="s">
        <v>36</v>
      </c>
      <c r="D117" s="2" t="s">
        <v>46</v>
      </c>
      <c r="E117" s="2" t="s">
        <v>64</v>
      </c>
      <c r="F117" s="2" t="s">
        <v>22</v>
      </c>
      <c r="G117" s="2" t="s">
        <v>54</v>
      </c>
      <c r="H117" s="2" t="s">
        <v>34</v>
      </c>
      <c r="I117" s="1">
        <v>11</v>
      </c>
      <c r="J117" s="3">
        <v>46045</v>
      </c>
      <c r="K117" s="3">
        <v>46047</v>
      </c>
      <c r="L117" s="2" t="s">
        <v>25</v>
      </c>
      <c r="M117" s="2" t="s">
        <v>26</v>
      </c>
      <c r="N117" s="2" t="s">
        <v>64</v>
      </c>
      <c r="O117" s="2" t="s">
        <v>64</v>
      </c>
      <c r="P117" s="1">
        <v>3115</v>
      </c>
      <c r="Q117" s="2" t="s">
        <v>35</v>
      </c>
      <c r="R117" s="1">
        <v>23</v>
      </c>
      <c r="S117" s="2" t="s">
        <v>28</v>
      </c>
      <c r="T117" s="2">
        <v>1</v>
      </c>
    </row>
    <row r="118" spans="1:20" x14ac:dyDescent="0.25">
      <c r="A118" s="1">
        <v>3116</v>
      </c>
      <c r="B118" s="1">
        <v>3113</v>
      </c>
      <c r="C118" s="2" t="s">
        <v>29</v>
      </c>
      <c r="D118" s="2" t="s">
        <v>36</v>
      </c>
      <c r="E118" s="2" t="s">
        <v>49</v>
      </c>
      <c r="F118" s="2" t="s">
        <v>58</v>
      </c>
      <c r="G118" s="2" t="s">
        <v>54</v>
      </c>
      <c r="H118" s="2" t="s">
        <v>34</v>
      </c>
      <c r="I118" s="1">
        <v>9</v>
      </c>
      <c r="J118" s="3">
        <v>46047</v>
      </c>
      <c r="K118" s="3">
        <v>46049</v>
      </c>
      <c r="L118" s="2" t="s">
        <v>50</v>
      </c>
      <c r="M118" s="2" t="s">
        <v>26</v>
      </c>
      <c r="N118" s="2" t="s">
        <v>49</v>
      </c>
      <c r="O118" s="2" t="s">
        <v>49</v>
      </c>
      <c r="P118" s="1">
        <v>3116</v>
      </c>
      <c r="Q118" s="2" t="s">
        <v>27</v>
      </c>
      <c r="R118" s="1">
        <v>25</v>
      </c>
      <c r="S118" s="2" t="s">
        <v>28</v>
      </c>
      <c r="T118" s="2">
        <v>1</v>
      </c>
    </row>
    <row r="119" spans="1:20" x14ac:dyDescent="0.25">
      <c r="A119" s="1">
        <v>3117</v>
      </c>
      <c r="B119" s="1">
        <v>3114</v>
      </c>
      <c r="C119" s="2" t="s">
        <v>30</v>
      </c>
      <c r="D119" s="2" t="s">
        <v>36</v>
      </c>
      <c r="E119" s="2" t="s">
        <v>64</v>
      </c>
      <c r="F119" s="2" t="s">
        <v>32</v>
      </c>
      <c r="G119" s="2" t="s">
        <v>41</v>
      </c>
      <c r="H119" s="2" t="s">
        <v>24</v>
      </c>
      <c r="I119" s="1">
        <v>2</v>
      </c>
      <c r="J119" s="3">
        <v>46049</v>
      </c>
      <c r="K119" s="3">
        <v>46050</v>
      </c>
      <c r="L119" s="2" t="s">
        <v>44</v>
      </c>
      <c r="M119" s="2" t="s">
        <v>26</v>
      </c>
      <c r="N119" s="2" t="s">
        <v>49</v>
      </c>
      <c r="O119" s="2" t="s">
        <v>64</v>
      </c>
      <c r="P119" s="1">
        <v>3117</v>
      </c>
      <c r="Q119" s="2" t="s">
        <v>51</v>
      </c>
      <c r="R119" s="1">
        <v>27</v>
      </c>
      <c r="S119" s="2" t="s">
        <v>28</v>
      </c>
      <c r="T119" s="2">
        <v>1</v>
      </c>
    </row>
    <row r="120" spans="1:20" x14ac:dyDescent="0.25">
      <c r="A120" s="1">
        <v>3118</v>
      </c>
      <c r="B120" s="1">
        <v>3116</v>
      </c>
      <c r="C120" s="2" t="s">
        <v>20</v>
      </c>
      <c r="D120" s="2" t="s">
        <v>20</v>
      </c>
      <c r="E120" s="2" t="s">
        <v>21</v>
      </c>
      <c r="F120" s="2" t="s">
        <v>47</v>
      </c>
      <c r="G120" s="2" t="s">
        <v>66</v>
      </c>
      <c r="H120" s="2" t="s">
        <v>62</v>
      </c>
      <c r="I120" s="1">
        <v>21</v>
      </c>
      <c r="J120" s="3">
        <v>46049</v>
      </c>
      <c r="K120" s="3">
        <v>46051</v>
      </c>
      <c r="L120" s="2" t="s">
        <v>50</v>
      </c>
      <c r="M120" s="2" t="s">
        <v>26</v>
      </c>
      <c r="N120" s="2" t="s">
        <v>49</v>
      </c>
      <c r="O120" s="2" t="s">
        <v>21</v>
      </c>
      <c r="P120" s="1">
        <v>3118</v>
      </c>
      <c r="Q120" s="2" t="s">
        <v>51</v>
      </c>
      <c r="R120" s="1">
        <v>27</v>
      </c>
      <c r="S120" s="2" t="s">
        <v>28</v>
      </c>
      <c r="T120" s="2">
        <v>1</v>
      </c>
    </row>
    <row r="121" spans="1:20" x14ac:dyDescent="0.25">
      <c r="A121" s="1">
        <v>3119</v>
      </c>
      <c r="B121" s="1">
        <v>3117</v>
      </c>
      <c r="C121" s="2" t="s">
        <v>36</v>
      </c>
      <c r="D121" s="2" t="s">
        <v>30</v>
      </c>
      <c r="E121" s="2" t="s">
        <v>54</v>
      </c>
      <c r="F121" s="2" t="s">
        <v>47</v>
      </c>
      <c r="G121" s="2" t="s">
        <v>41</v>
      </c>
      <c r="H121" s="2" t="s">
        <v>38</v>
      </c>
      <c r="I121" s="1">
        <v>29</v>
      </c>
      <c r="J121" s="3">
        <v>46046</v>
      </c>
      <c r="K121" s="3">
        <v>46047</v>
      </c>
      <c r="L121" s="2" t="s">
        <v>25</v>
      </c>
      <c r="M121" s="2" t="s">
        <v>26</v>
      </c>
      <c r="N121" s="2" t="s">
        <v>49</v>
      </c>
      <c r="O121" s="2" t="s">
        <v>54</v>
      </c>
      <c r="P121" s="1">
        <v>3119</v>
      </c>
      <c r="Q121" s="2" t="s">
        <v>45</v>
      </c>
      <c r="R121" s="1">
        <v>24</v>
      </c>
      <c r="S121" s="2" t="s">
        <v>28</v>
      </c>
      <c r="T121" s="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CD1D-8467-4FBA-8DDB-B528905D1A77}">
  <dimension ref="A1:T18"/>
  <sheetViews>
    <sheetView topLeftCell="D1" zoomScale="90" zoomScaleNormal="90" workbookViewId="0">
      <selection activeCell="P27" sqref="P27"/>
    </sheetView>
  </sheetViews>
  <sheetFormatPr defaultRowHeight="15" x14ac:dyDescent="0.25"/>
  <cols>
    <col min="1" max="1" width="20.7109375" bestFit="1" customWidth="1"/>
    <col min="2" max="2" width="13.28515625" bestFit="1" customWidth="1"/>
    <col min="4" max="4" width="20.7109375" bestFit="1" customWidth="1"/>
    <col min="5" max="5" width="13.28515625" bestFit="1" customWidth="1"/>
    <col min="6" max="6" width="4.7109375" customWidth="1"/>
    <col min="7" max="7" width="20.7109375" bestFit="1" customWidth="1"/>
    <col min="8" max="8" width="13.28515625" bestFit="1" customWidth="1"/>
    <col min="9" max="9" width="3.42578125" customWidth="1"/>
    <col min="10" max="10" width="20.7109375" bestFit="1" customWidth="1"/>
    <col min="11" max="11" width="13.28515625" bestFit="1" customWidth="1"/>
    <col min="12" max="12" width="3.85546875" customWidth="1"/>
    <col min="13" max="13" width="20.7109375" bestFit="1" customWidth="1"/>
    <col min="14" max="14" width="13.28515625" bestFit="1" customWidth="1"/>
    <col min="15" max="15" width="3" customWidth="1"/>
    <col min="16" max="16" width="20.7109375" bestFit="1" customWidth="1"/>
    <col min="17" max="17" width="13.28515625" bestFit="1" customWidth="1"/>
    <col min="18" max="18" width="4.42578125" customWidth="1"/>
    <col min="19" max="19" width="20.7109375" bestFit="1" customWidth="1"/>
    <col min="20" max="20" width="13.28515625" bestFit="1" customWidth="1"/>
  </cols>
  <sheetData>
    <row r="1" spans="1:20" x14ac:dyDescent="0.25">
      <c r="A1" s="5" t="s">
        <v>72</v>
      </c>
      <c r="B1" s="5"/>
      <c r="C1" s="6" t="s">
        <v>73</v>
      </c>
      <c r="D1" s="5" t="s">
        <v>74</v>
      </c>
      <c r="E1" s="5"/>
      <c r="G1" s="5" t="s">
        <v>75</v>
      </c>
      <c r="H1" s="5"/>
      <c r="J1" s="5" t="s">
        <v>76</v>
      </c>
      <c r="K1" s="5"/>
      <c r="M1" s="5" t="s">
        <v>77</v>
      </c>
      <c r="N1" s="5"/>
      <c r="P1" s="5" t="s">
        <v>78</v>
      </c>
      <c r="Q1" s="5"/>
      <c r="S1" s="5" t="s">
        <v>79</v>
      </c>
      <c r="T1" s="5"/>
    </row>
    <row r="2" spans="1:20" x14ac:dyDescent="0.25">
      <c r="A2" s="4" t="s">
        <v>68</v>
      </c>
      <c r="B2" s="1" t="s">
        <v>71</v>
      </c>
      <c r="C2" s="6">
        <f>GETPIVOTDATA("cont",$A$2)</f>
        <v>120</v>
      </c>
      <c r="D2" s="4" t="s">
        <v>68</v>
      </c>
      <c r="E2" s="1" t="s">
        <v>71</v>
      </c>
      <c r="G2" s="4" t="s">
        <v>68</v>
      </c>
      <c r="H2" s="1" t="s">
        <v>71</v>
      </c>
      <c r="J2" s="4" t="s">
        <v>68</v>
      </c>
      <c r="K2" s="1" t="s">
        <v>71</v>
      </c>
      <c r="M2" s="4" t="s">
        <v>68</v>
      </c>
      <c r="N2" s="1" t="s">
        <v>71</v>
      </c>
      <c r="P2" s="4" t="s">
        <v>68</v>
      </c>
      <c r="Q2" s="1" t="s">
        <v>71</v>
      </c>
      <c r="S2" s="4" t="s">
        <v>68</v>
      </c>
      <c r="T2" s="1" t="s">
        <v>71</v>
      </c>
    </row>
    <row r="3" spans="1:20" x14ac:dyDescent="0.25">
      <c r="A3" s="1" t="s">
        <v>22</v>
      </c>
      <c r="B3" s="2">
        <v>32</v>
      </c>
      <c r="D3" s="1" t="s">
        <v>42</v>
      </c>
      <c r="E3" s="2">
        <v>23</v>
      </c>
      <c r="G3" s="1" t="s">
        <v>50</v>
      </c>
      <c r="H3" s="2">
        <v>33</v>
      </c>
      <c r="J3" s="1" t="s">
        <v>27</v>
      </c>
      <c r="K3" s="2">
        <v>20</v>
      </c>
      <c r="M3" s="1">
        <v>25</v>
      </c>
      <c r="N3" s="2">
        <v>20</v>
      </c>
      <c r="P3" s="1" t="s">
        <v>20</v>
      </c>
      <c r="Q3" s="2">
        <v>20</v>
      </c>
      <c r="S3" s="1" t="s">
        <v>23</v>
      </c>
      <c r="T3" s="2">
        <v>12</v>
      </c>
    </row>
    <row r="4" spans="1:20" x14ac:dyDescent="0.25">
      <c r="A4" s="1" t="s">
        <v>47</v>
      </c>
      <c r="B4" s="2">
        <v>30</v>
      </c>
      <c r="D4" s="1" t="s">
        <v>49</v>
      </c>
      <c r="E4" s="2">
        <v>19</v>
      </c>
      <c r="G4" s="1" t="s">
        <v>25</v>
      </c>
      <c r="H4" s="2">
        <v>25</v>
      </c>
      <c r="J4" s="1" t="s">
        <v>60</v>
      </c>
      <c r="K4" s="2">
        <v>17</v>
      </c>
      <c r="M4" s="1">
        <v>26</v>
      </c>
      <c r="N4" s="2">
        <v>17</v>
      </c>
      <c r="P4" s="1" t="s">
        <v>46</v>
      </c>
      <c r="Q4" s="2">
        <v>18</v>
      </c>
      <c r="S4" s="1" t="s">
        <v>54</v>
      </c>
      <c r="T4" s="2">
        <v>11</v>
      </c>
    </row>
    <row r="5" spans="1:20" x14ac:dyDescent="0.25">
      <c r="A5" s="1" t="s">
        <v>58</v>
      </c>
      <c r="B5" s="2">
        <v>29</v>
      </c>
      <c r="D5" s="1" t="s">
        <v>54</v>
      </c>
      <c r="E5" s="2">
        <v>15</v>
      </c>
      <c r="G5" s="1" t="s">
        <v>39</v>
      </c>
      <c r="H5" s="2">
        <v>28</v>
      </c>
      <c r="J5" s="1" t="s">
        <v>51</v>
      </c>
      <c r="K5" s="2">
        <v>17</v>
      </c>
      <c r="M5" s="1">
        <v>27</v>
      </c>
      <c r="N5" s="2">
        <v>17</v>
      </c>
      <c r="P5" s="1" t="s">
        <v>36</v>
      </c>
      <c r="Q5" s="2">
        <v>24</v>
      </c>
      <c r="S5" s="1" t="s">
        <v>33</v>
      </c>
      <c r="T5" s="2">
        <v>11</v>
      </c>
    </row>
    <row r="6" spans="1:20" x14ac:dyDescent="0.25">
      <c r="A6" s="1" t="s">
        <v>32</v>
      </c>
      <c r="B6" s="2">
        <v>29</v>
      </c>
      <c r="D6" s="1" t="s">
        <v>31</v>
      </c>
      <c r="E6" s="2">
        <v>15</v>
      </c>
      <c r="G6" s="1" t="s">
        <v>44</v>
      </c>
      <c r="H6" s="2">
        <v>34</v>
      </c>
      <c r="J6" s="1" t="s">
        <v>57</v>
      </c>
      <c r="K6" s="2">
        <v>22</v>
      </c>
      <c r="M6" s="1">
        <v>24</v>
      </c>
      <c r="N6" s="2">
        <v>16</v>
      </c>
      <c r="P6" s="1" t="s">
        <v>30</v>
      </c>
      <c r="Q6" s="2">
        <v>22</v>
      </c>
      <c r="S6" s="1" t="s">
        <v>48</v>
      </c>
      <c r="T6" s="2">
        <v>10</v>
      </c>
    </row>
    <row r="7" spans="1:20" x14ac:dyDescent="0.25">
      <c r="A7" s="1" t="s">
        <v>69</v>
      </c>
      <c r="B7" s="2">
        <v>120</v>
      </c>
      <c r="D7" s="1" t="s">
        <v>37</v>
      </c>
      <c r="E7" s="2">
        <v>14</v>
      </c>
      <c r="G7" s="1" t="s">
        <v>69</v>
      </c>
      <c r="H7" s="2">
        <v>120</v>
      </c>
      <c r="J7" s="1" t="s">
        <v>53</v>
      </c>
      <c r="K7" s="2">
        <v>16</v>
      </c>
      <c r="M7" s="1">
        <v>22</v>
      </c>
      <c r="N7" s="2">
        <v>14</v>
      </c>
      <c r="P7" s="1" t="s">
        <v>29</v>
      </c>
      <c r="Q7" s="2">
        <v>19</v>
      </c>
      <c r="S7" s="1" t="s">
        <v>43</v>
      </c>
      <c r="T7" s="2">
        <v>10</v>
      </c>
    </row>
    <row r="8" spans="1:20" x14ac:dyDescent="0.25">
      <c r="D8" s="1" t="s">
        <v>23</v>
      </c>
      <c r="E8" s="2">
        <v>13</v>
      </c>
      <c r="J8" s="1" t="s">
        <v>35</v>
      </c>
      <c r="K8" s="2">
        <v>12</v>
      </c>
      <c r="M8" s="1">
        <v>28</v>
      </c>
      <c r="N8" s="2">
        <v>13</v>
      </c>
      <c r="P8" s="1" t="s">
        <v>19</v>
      </c>
      <c r="Q8" s="2">
        <v>17</v>
      </c>
      <c r="S8" s="1" t="s">
        <v>61</v>
      </c>
      <c r="T8" s="2">
        <v>10</v>
      </c>
    </row>
    <row r="9" spans="1:20" x14ac:dyDescent="0.25">
      <c r="D9" s="1" t="s">
        <v>64</v>
      </c>
      <c r="E9" s="2">
        <v>12</v>
      </c>
      <c r="J9" s="1" t="s">
        <v>45</v>
      </c>
      <c r="K9" s="2">
        <v>16</v>
      </c>
      <c r="M9" s="1">
        <v>23</v>
      </c>
      <c r="N9" s="2">
        <v>12</v>
      </c>
      <c r="P9" s="1" t="s">
        <v>69</v>
      </c>
      <c r="Q9" s="2">
        <v>120</v>
      </c>
      <c r="S9" s="1" t="s">
        <v>41</v>
      </c>
      <c r="T9" s="2">
        <v>10</v>
      </c>
    </row>
    <row r="10" spans="1:20" x14ac:dyDescent="0.25">
      <c r="D10" s="1" t="s">
        <v>21</v>
      </c>
      <c r="E10" s="2">
        <v>9</v>
      </c>
      <c r="J10" s="1" t="s">
        <v>69</v>
      </c>
      <c r="K10" s="2">
        <v>120</v>
      </c>
      <c r="M10" s="1">
        <v>21</v>
      </c>
      <c r="N10" s="2">
        <v>9</v>
      </c>
      <c r="S10" s="1" t="s">
        <v>56</v>
      </c>
      <c r="T10" s="2">
        <v>9</v>
      </c>
    </row>
    <row r="11" spans="1:20" x14ac:dyDescent="0.25">
      <c r="D11" s="1" t="s">
        <v>69</v>
      </c>
      <c r="E11" s="2">
        <v>120</v>
      </c>
      <c r="M11" s="1">
        <v>29</v>
      </c>
      <c r="N11" s="2">
        <v>2</v>
      </c>
      <c r="S11" s="1" t="s">
        <v>66</v>
      </c>
      <c r="T11" s="2">
        <v>8</v>
      </c>
    </row>
    <row r="12" spans="1:20" x14ac:dyDescent="0.25">
      <c r="M12" s="1" t="s">
        <v>69</v>
      </c>
      <c r="N12" s="2">
        <v>120</v>
      </c>
      <c r="S12" s="1" t="s">
        <v>67</v>
      </c>
      <c r="T12" s="2">
        <v>8</v>
      </c>
    </row>
    <row r="13" spans="1:20" x14ac:dyDescent="0.25">
      <c r="S13" s="1" t="s">
        <v>52</v>
      </c>
      <c r="T13" s="2">
        <v>6</v>
      </c>
    </row>
    <row r="14" spans="1:20" x14ac:dyDescent="0.25">
      <c r="S14" s="1" t="s">
        <v>65</v>
      </c>
      <c r="T14" s="2">
        <v>4</v>
      </c>
    </row>
    <row r="15" spans="1:20" x14ac:dyDescent="0.25">
      <c r="S15" s="1" t="s">
        <v>37</v>
      </c>
      <c r="T15" s="2">
        <v>4</v>
      </c>
    </row>
    <row r="16" spans="1:20" x14ac:dyDescent="0.25">
      <c r="S16" s="1" t="s">
        <v>59</v>
      </c>
      <c r="T16" s="2">
        <v>4</v>
      </c>
    </row>
    <row r="17" spans="19:20" x14ac:dyDescent="0.25">
      <c r="S17" s="1" t="s">
        <v>63</v>
      </c>
      <c r="T17" s="2">
        <v>3</v>
      </c>
    </row>
    <row r="18" spans="19:20" x14ac:dyDescent="0.25">
      <c r="S18" s="1" t="s">
        <v>69</v>
      </c>
      <c r="T18" s="2">
        <v>120</v>
      </c>
    </row>
  </sheetData>
  <mergeCells count="7">
    <mergeCell ref="S1:T1"/>
    <mergeCell ref="A1:B1"/>
    <mergeCell ref="D1:E1"/>
    <mergeCell ref="G1:H1"/>
    <mergeCell ref="J1:K1"/>
    <mergeCell ref="M1:N1"/>
    <mergeCell ref="P1:Q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819B-1339-461B-BAF3-135018DC1C98}">
  <dimension ref="A1:Z34"/>
  <sheetViews>
    <sheetView tabSelected="1" zoomScale="70" zoomScaleNormal="70" workbookViewId="0">
      <selection activeCell="AA13" sqref="AA13"/>
    </sheetView>
  </sheetViews>
  <sheetFormatPr defaultRowHeight="15" x14ac:dyDescent="0.25"/>
  <sheetData>
    <row r="1" spans="1:26" ht="15" customHeight="1" x14ac:dyDescent="0.25">
      <c r="A1" s="8">
        <f>'Tb-Dados'!C2</f>
        <v>120</v>
      </c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25">
      <c r="A2" s="8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25">
      <c r="A3" s="8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</sheetData>
  <mergeCells count="1">
    <mergeCell ref="A1:B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35AC3-9ED3-4495-B9AA-1DE4E04AE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Tb-Dados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Cantanhede</dc:creator>
  <cp:lastModifiedBy>Matheus Cantanhede</cp:lastModifiedBy>
  <dcterms:created xsi:type="dcterms:W3CDTF">2026-01-29T17:03:24Z</dcterms:created>
  <dcterms:modified xsi:type="dcterms:W3CDTF">2026-01-29T17:59:20Z</dcterms:modified>
</cp:coreProperties>
</file>